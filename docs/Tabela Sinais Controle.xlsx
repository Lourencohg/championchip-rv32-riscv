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ais por Estado" sheetId="1" state="visible" r:id="rId3"/>
    <sheet name="Revisao Tecnica" sheetId="2" state="visible" r:id="rId4"/>
    <sheet name="FSM Corrigida (proposta)" sheetId="3" state="visible" r:id="rId5"/>
    <sheet name="Legenda dos Sinais" sheetId="4" state="visible" r:id="rId6"/>
    <sheet name="Trilhas de Referência" sheetId="5" state="visible" r:id="rId7"/>
    <sheet name="Decodificação por Instruçã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CONFIRMADO. Incrementar o PC aqui faz com que, a partir do ciclo 2, o PC deixe de guardar o endereco da instrucao em execucao. Como no RISC-V o alvo e PC_DA_INSTRUCAO + imediato, os 6 branches, o JAL e o AUIPC erram o alvo em 4 bytes. O JALR nao sofre (alvo = rs1 + imediato). Ver Decisao A.</t>
        </r>
      </text>
    </comment>
    <comment ref="B19" authorId="0">
      <text>
        <r>
          <rPr>
            <sz val="10"/>
            <rFont val="Arial"/>
            <family val="2"/>
          </rPr>
          <t xml:space="preserve">SEM ERRO nesta versao. Como o PC ja foi incrementado no FETCH, branch nao tomado (pc_write=0) mantem o PC em PC+4, que e o comportamento correto. Isto SO precisa virar pc_write=1 / pc_src=cond se voce adotar a Decisao A1.</t>
        </r>
      </text>
    </comment>
    <comment ref="B22" authorId="0">
      <text>
        <r>
          <rPr>
            <sz val="10"/>
            <rFont val="Arial"/>
            <family val="2"/>
          </rPr>
          <t xml:space="preserve">SEM ERRO nesta versao. Com o PC ja incrementado no FETCH, pc_write=0 no SYSTEM deixa o FENCE avancar corretamente. So muda para 'dec' se adotar a Decisao A1.</t>
        </r>
      </text>
    </comment>
    <comment ref="C6" authorId="0">
      <text>
        <r>
          <rPr>
            <sz val="10"/>
            <rFont val="Arial"/>
            <family val="2"/>
          </rPr>
          <t xml:space="preserve">CONFIRMADO. Incrementar o PC aqui faz com que, a partir do ciclo 2, o PC deixe de guardar o endereco da instrucao em execucao. Como no RISC-V o alvo e PC_DA_INSTRUCAO + imediato, os 6 branches, o JAL e o AUIPC erram o alvo em 4 bytes. O JALR nao sofre (alvo = rs1 + imediato). Ver Decisao A.</t>
        </r>
      </text>
    </comment>
    <comment ref="C19" authorId="0">
      <text>
        <r>
          <rPr>
            <sz val="10"/>
            <rFont val="Arial"/>
            <family val="2"/>
          </rPr>
          <t xml:space="preserve">SEM ERRO nesta versao. Como o PC ja foi incrementado no FETCH, branch nao tomado (pc_write=0) mantem o PC em PC+4, que e o comportamento correto. Isto SO precisa virar pc_write=1 / pc_src=cond se voce adotar a Decisao A1.</t>
        </r>
      </text>
    </comment>
    <comment ref="C21" authorId="0">
      <text>
        <r>
          <rPr>
            <sz val="10"/>
            <rFont val="Arial"/>
            <family val="2"/>
          </rPr>
          <t xml:space="preserve">CONFIRMADO, impacto moderado. Sua legenda define pc_src=10 = alvo de JALR com bit 0 zerado, mas aqui esta fixo em 1. Como JAL e JALR compartilham o WB_LINK, o JALR usaria a entrada sem mascara. Na pratica o decodificador de enderecos ignora os 2 bits inferiores (secao 4.4), entao a busca ainda acerta a palavra; o problema e de conformidade com a ISA e do valor de PC que fica registrado. Correcao: pc_src = 'dec'.</t>
        </r>
      </text>
    </comment>
    <comment ref="E17" authorId="0">
      <text>
        <r>
          <rPr>
            <sz val="10"/>
            <rFont val="Arial"/>
            <family val="2"/>
          </rPr>
          <t xml:space="preserve">CONDICIONAL — depende de existir um MDR (Memory Data Register) ou de a LSU registrar o dado.
Se nao existir: com addr_src=0 o endereco volta a ser o PC, o decodificador de enderecos chaveia o barramento para a IMEM, e o que chega em rd sao os bits da proxima instrucao, nao o dado carregado.
Correcao: manter addr_src=1 e mem_read=1 no WB_LOAD, ou fundir MEM_CAP com WB_LOAD.</t>
        </r>
      </text>
    </comment>
    <comment ref="F17" authorId="0">
      <text>
        <r>
          <rPr>
            <sz val="10"/>
            <rFont val="Arial"/>
            <family val="2"/>
          </rPr>
          <t xml:space="preserve">CONDICIONAL — depende de existir um MDR (Memory Data Register) ou de a LSU registrar o dado.
Se nao existir: com addr_src=0 o endereco volta a ser o PC, o decodificador de enderecos chaveia o barramento para a IMEM, e o que chega em rd sao os bits da proxima instrucao, nao o dado carregado.
Correcao: manter addr_src=1 e mem_read=1 no WB_LOAD, ou fundir MEM_CAP com WB_LOAD.</t>
        </r>
      </text>
    </comment>
    <comment ref="H9" authorId="0">
      <text>
        <r>
          <rPr>
            <sz val="10"/>
            <rFont val="Arial"/>
            <family val="2"/>
          </rPr>
          <t xml:space="preserve">CONDICIONAL — depende de existir um registrador ALUOut no seu datapath.
Se NAO existir: 'X' vira 0 no RTL, e 0 nao desliga a ULA. Pela Tabela 9, alu_sel=4'h0 = PASS_B (Q=B), e alu_b_src=00 = rs2. No ciclo em que rd e escrito a ULA entrega rs2, entao 'add x1,x2,x3' grava x3 em x1.
Se existir ALUOut: a tabela esta correta, mas voce precisa desenha-lo no datapath e cita-lo no relatorio (a lista de 34 registradores da secao 3.1.4 do Block Guide nao o inclui).</t>
        </r>
      </text>
    </comment>
    <comment ref="H15" authorId="0">
      <text>
        <r>
          <rPr>
            <sz val="10"/>
            <rFont val="Arial"/>
            <family val="2"/>
          </rPr>
          <t xml:space="preserve">CONDICIONAL — depende de addr_src=1 apontar para a saida combinacional da ULA ou para um ALUOut.
Se for a saida da ULA: com os selects em 0, alu_sel=4'h0 = PASS_B entrega a entrada B. Pior: load e store tipo I/S nao tem campo rs2 util, entao o banco leria um registrador escolhido por bits do imediato e o endereco seria arbitrario.
Correcao: manter alu_a_src=0, alu_b_src=1, alu_sel=ADD nestes estados.</t>
        </r>
      </text>
    </comment>
    <comment ref="H16" authorId="0">
      <text>
        <r>
          <rPr>
            <sz val="10"/>
            <rFont val="Arial"/>
            <family val="2"/>
          </rPr>
          <t xml:space="preserve">CONDICIONAL — depende de addr_src=1 apontar para a saida combinacional da ULA ou para um ALUOut.
Se for a saida da ULA: com os selects em 0, alu_sel=4'h0 = PASS_B entrega a entrada B. Pior: load e store tipo I/S nao tem campo rs2 util, entao o banco leria um registrador escolhido por bits do imediato e o endereco seria arbitrario.
Correcao: manter alu_a_src=0, alu_b_src=1, alu_sel=ADD nestes estados.</t>
        </r>
      </text>
    </comment>
    <comment ref="H18" authorId="0">
      <text>
        <r>
          <rPr>
            <sz val="10"/>
            <rFont val="Arial"/>
            <family val="2"/>
          </rPr>
          <t xml:space="preserve">CONDICIONAL — depende de addr_src=1 apontar para a saida combinacional da ULA ou para um ALUOut.
Se for a saida da ULA: com os selects em 0, alu_sel=4'h0 = PASS_B entrega a entrada B. Pior: load e store tipo I/S nao tem campo rs2 util, entao o banco leria um registrador escolhido por bits do imediato e o endereco seria arbitrario.
Correcao: manter alu_a_src=0, alu_b_src=1, alu_sel=ADD nestes estados.</t>
        </r>
      </text>
    </comment>
    <comment ref="H19" authorId="0">
      <text>
        <r>
          <rPr>
            <sz val="10"/>
            <rFont val="Arial"/>
            <family val="2"/>
          </rPr>
          <t xml:space="preserve">CONFIRMADO. alu_a_src=1 (PC) aqui soma PC+4+imediato. O alvo correto e PC_da_instrucao + imediato.</t>
        </r>
      </text>
    </comment>
    <comment ref="H20" authorId="0">
      <text>
        <r>
          <rPr>
            <sz val="10"/>
            <rFont val="Arial"/>
            <family val="2"/>
          </rPr>
          <t xml:space="preserve">SEM ERRO. alu_a_src=dec (1=PC para JAL, 0=rs1 para JALR) esta certo. So o JAL depende da Decisao A.</t>
        </r>
      </text>
    </comment>
    <comment ref="I9" authorId="0">
      <text>
        <r>
          <rPr>
            <sz val="10"/>
            <rFont val="Arial"/>
            <family val="2"/>
          </rPr>
          <t xml:space="preserve">CONDICIONAL — depende de existir um registrador ALUOut no seu datapath.
Se NAO existir: 'X' vira 0 no RTL, e 0 nao desliga a ULA. Pela Tabela 9, alu_sel=4'h0 = PASS_B (Q=B), e alu_b_src=00 = rs2. No ciclo em que rd e escrito a ULA entrega rs2, entao 'add x1,x2,x3' grava x3 em x1.
Se existir ALUOut: a tabela esta correta, mas voce precisa desenha-lo no datapath e cita-lo no relatorio (a lista de 34 registradores da secao 3.1.4 do Block Guide nao o inclui).</t>
        </r>
      </text>
    </comment>
    <comment ref="I15" authorId="0">
      <text>
        <r>
          <rPr>
            <sz val="10"/>
            <rFont val="Arial"/>
            <family val="2"/>
          </rPr>
          <t xml:space="preserve">CONDICIONAL — depende de addr_src=1 apontar para a saida combinacional da ULA ou para um ALUOut.
Se for a saida da ULA: com os selects em 0, alu_sel=4'h0 = PASS_B entrega a entrada B. Pior: load e store tipo I/S nao tem campo rs2 util, entao o banco leria um registrador escolhido por bits do imediato e o endereco seria arbitrario.
Correcao: manter alu_a_src=0, alu_b_src=1, alu_sel=ADD nestes estados.</t>
        </r>
      </text>
    </comment>
    <comment ref="I16" authorId="0">
      <text>
        <r>
          <rPr>
            <sz val="10"/>
            <rFont val="Arial"/>
            <family val="2"/>
          </rPr>
          <t xml:space="preserve">CONDICIONAL — depende de addr_src=1 apontar para a saida combinacional da ULA ou para um ALUOut.
Se for a saida da ULA: com os selects em 0, alu_sel=4'h0 = PASS_B entrega a entrada B. Pior: load e store tipo I/S nao tem campo rs2 util, entao o banco leria um registrador escolhido por bits do imediato e o endereco seria arbitrario.
Correcao: manter alu_a_src=0, alu_b_src=1, alu_sel=ADD nestes estados.</t>
        </r>
      </text>
    </comment>
    <comment ref="I18" authorId="0">
      <text>
        <r>
          <rPr>
            <sz val="10"/>
            <rFont val="Arial"/>
            <family val="2"/>
          </rPr>
          <t xml:space="preserve">CONDICIONAL — depende de addr_src=1 apontar para a saida combinacional da ULA ou para um ALUOut.
Se for a saida da ULA: com os selects em 0, alu_sel=4'h0 = PASS_B entrega a entrada B. Pior: load e store tipo I/S nao tem campo rs2 util, entao o banco leria um registrador escolhido por bits do imediato e o endereco seria arbitrario.
Correcao: manter alu_a_src=0, alu_b_src=1, alu_sel=ADD nestes estados.</t>
        </r>
      </text>
    </comment>
    <comment ref="J9" authorId="0">
      <text>
        <r>
          <rPr>
            <sz val="10"/>
            <rFont val="Arial"/>
            <family val="2"/>
          </rPr>
          <t xml:space="preserve">CONDICIONAL — depende de existir um registrador ALUOut no seu datapath.
Se NAO existir: 'X' vira 0 no RTL, e 0 nao desliga a ULA. Pela Tabela 9, alu_sel=4'h0 = PASS_B (Q=B), e alu_b_src=00 = rs2. No ciclo em que rd e escrito a ULA entrega rs2, entao 'add x1,x2,x3' grava x3 em x1.
Se existir ALUOut: a tabela esta correta, mas voce precisa desenha-lo no datapath e cita-lo no relatorio (a lista de 34 registradores da secao 3.1.4 do Block Guide nao o inclui).</t>
        </r>
      </text>
    </comment>
    <comment ref="J15" authorId="0">
      <text>
        <r>
          <rPr>
            <sz val="10"/>
            <rFont val="Arial"/>
            <family val="2"/>
          </rPr>
          <t xml:space="preserve">CONDICIONAL — depende de addr_src=1 apontar para a saida combinacional da ULA ou para um ALUOut.
Se for a saida da ULA: com os selects em 0, alu_sel=4'h0 = PASS_B entrega a entrada B. Pior: load e store tipo I/S nao tem campo rs2 util, entao o banco leria um registrador escolhido por bits do imediato e o endereco seria arbitrario.
Correcao: manter alu_a_src=0, alu_b_src=1, alu_sel=ADD nestes estados.</t>
        </r>
      </text>
    </comment>
    <comment ref="J16" authorId="0">
      <text>
        <r>
          <rPr>
            <sz val="10"/>
            <rFont val="Arial"/>
            <family val="2"/>
          </rPr>
          <t xml:space="preserve">CONDICIONAL — depende de addr_src=1 apontar para a saida combinacional da ULA ou para um ALUOut.
Se for a saida da ULA: com os selects em 0, alu_sel=4'h0 = PASS_B entrega a entrada B. Pior: load e store tipo I/S nao tem campo rs2 util, entao o banco leria um registrador escolhido por bits do imediato e o endereco seria arbitrario.
Correcao: manter alu_a_src=0, alu_b_src=1, alu_sel=ADD nestes estados.</t>
        </r>
      </text>
    </comment>
    <comment ref="J18" authorId="0">
      <text>
        <r>
          <rPr>
            <sz val="10"/>
            <rFont val="Arial"/>
            <family val="2"/>
          </rPr>
          <t xml:space="preserve">CONDICIONAL — depende de addr_src=1 apontar para a saida combinacional da ULA ou para um ALUOut.
Se for a saida da ULA: com os selects em 0, alu_sel=4'h0 = PASS_B entrega a entrada B. Pior: load e store tipo I/S nao tem campo rs2 util, entao o banco leria um registrador escolhido por bits do imediato e o endereco seria arbitrario.
Correcao: manter alu_a_src=0, alu_b_src=1, alu_sel=ADD nestes estados.</t>
        </r>
      </text>
    </comment>
    <comment ref="K11" authorId="0">
      <text>
        <r>
          <rPr>
            <sz val="10"/>
            <rFont val="Arial"/>
            <family val="2"/>
          </rPr>
          <t xml:space="preserve">CONDICIONAL, mesmo caso do WB_ALU. Sem registrador intermediario, mult_sel=X vira 0 = MUL, e MULH/MULHSU/MULHU devolveriam os 32 bits inferiores em vez dos superiores.</t>
        </r>
      </text>
    </comment>
    <comment ref="L13" authorId="0">
      <text>
        <r>
          <rPr>
            <sz val="10"/>
            <rFont val="Arial"/>
            <family val="2"/>
          </rPr>
          <t xml:space="preserve">CONDICIONAL, mesmo caso. Sem registrador intermediario, crc_sel=X vira 0 = CRCB, e CRCH/CRCW devolveriam o CRC de 8 bits.</t>
        </r>
      </text>
    </comment>
    <comment ref="P7" authorId="0">
      <text>
        <r>
          <rPr>
            <sz val="10"/>
            <rFont val="Arial"/>
            <family val="2"/>
          </rPr>
          <t xml:space="preserve">CONFIRMADO. Tabelas 7 e 8 do Block Guide: ADD (funct7=0000000), MUL (0000001) e CRCB (1000000) tem opcode 0110011 E funct3 000 identicos. So o funct7 as separa. O desvio do DECODE precisa de opcode + funct7.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1" authorId="0">
      <text>
        <r>
          <rPr>
            <sz val="10"/>
            <rFont val="Arial"/>
            <family val="2"/>
          </rPr>
          <t xml:space="preserve">ERRO: estava 3. alu_a_src tem 2 bits e so define 00=rs1, 01=PC, 10=zero. AUIPC usa o PC -&gt; alu_a_src = 01.</t>
        </r>
      </text>
    </comment>
    <comment ref="E6" authorId="0">
      <text>
        <r>
          <rPr>
            <sz val="10"/>
            <rFont val="Arial"/>
            <family val="2"/>
          </rPr>
          <t xml:space="preserve">Preenchido conforme Tabela 9 do Block Guide.</t>
        </r>
      </text>
    </comment>
    <comment ref="E8" authorId="0">
      <text>
        <r>
          <rPr>
            <sz val="10"/>
            <rFont val="Arial"/>
            <family val="2"/>
          </rPr>
          <t xml:space="preserve">Preenchido conforme Tabela 9 do Block Guide.</t>
        </r>
      </text>
    </comment>
    <comment ref="E9" authorId="0">
      <text>
        <r>
          <rPr>
            <sz val="10"/>
            <rFont val="Arial"/>
            <family val="2"/>
          </rPr>
          <t xml:space="preserve">Preenchido conforme Tabela 9 do Block Guide.</t>
        </r>
      </text>
    </comment>
    <comment ref="E10" authorId="0">
      <text>
        <r>
          <rPr>
            <sz val="10"/>
            <rFont val="Arial"/>
            <family val="2"/>
          </rPr>
          <t xml:space="preserve">Preenchido conforme Tabela 9 do Block Guide.</t>
        </r>
      </text>
    </comment>
    <comment ref="E11" authorId="0">
      <text>
        <r>
          <rPr>
            <sz val="10"/>
            <rFont val="Arial"/>
            <family val="2"/>
          </rPr>
          <t xml:space="preserve">Preenchido conforme Tabela 9 do Block Guide.</t>
        </r>
      </text>
    </comment>
    <comment ref="E12" authorId="0">
      <text>
        <r>
          <rPr>
            <sz val="10"/>
            <rFont val="Arial"/>
            <family val="2"/>
          </rPr>
          <t xml:space="preserve">Preenchido conforme Tabela 9 do Block Guide.</t>
        </r>
      </text>
    </comment>
    <comment ref="E13" authorId="0">
      <text>
        <r>
          <rPr>
            <sz val="10"/>
            <rFont val="Arial"/>
            <family val="2"/>
          </rPr>
          <t xml:space="preserve">Preenchido conforme Tabela 9 do Block Guide.</t>
        </r>
      </text>
    </comment>
    <comment ref="E14" authorId="0">
      <text>
        <r>
          <rPr>
            <sz val="10"/>
            <rFont val="Arial"/>
            <family val="2"/>
          </rPr>
          <t xml:space="preserve">Preenchido conforme Tabela 9 do Block Guide.</t>
        </r>
      </text>
    </comment>
    <comment ref="H6" authorId="0">
      <text>
        <r>
          <rPr>
            <sz val="10"/>
            <rFont val="Arial"/>
            <family val="2"/>
          </rPr>
          <t xml:space="preserve">Faltava: SUB escreve o resultado da ULA em rd -&gt; result_src = 0.</t>
        </r>
      </text>
    </comment>
  </commentList>
</comments>
</file>

<file path=xl/sharedStrings.xml><?xml version="1.0" encoding="utf-8"?>
<sst xmlns="http://schemas.openxmlformats.org/spreadsheetml/2006/main" count="1251" uniqueCount="366">
  <si>
    <t xml:space="preserve">TABELA DE SINAIS DE CONTROLE POR ESTADO — Unidade de Controle RVBL-2</t>
  </si>
  <si>
    <t xml:space="preserve">Cada célula responde: neste estado, o que este sinal precisa valer para o datapath fazer o que deve</t>
  </si>
  <si>
    <t xml:space="preserve">Legenda: 'dec' = valor decodificado da instrução (ver aba 'Decodificação por Instrução') · 'cond' = depende de condição em tempo de execução · 'X' = irrelevante, escreva 0 no RTL</t>
  </si>
  <si>
    <t xml:space="preserve">ESTADO</t>
  </si>
  <si>
    <t xml:space="preserve">pc_write
[1b]</t>
  </si>
  <si>
    <t xml:space="preserve">pc_src
[2b]</t>
  </si>
  <si>
    <t xml:space="preserve">ir_write
[1b]</t>
  </si>
  <si>
    <t xml:space="preserve">addr_src
[1b]</t>
  </si>
  <si>
    <t xml:space="preserve">mem_read
[1b]</t>
  </si>
  <si>
    <t xml:space="preserve">mem_write
[1b]</t>
  </si>
  <si>
    <t xml:space="preserve">alu_a_src
[2b]</t>
  </si>
  <si>
    <t xml:space="preserve">alu_b_src
[2b]</t>
  </si>
  <si>
    <t xml:space="preserve">alu_sel
[4b]</t>
  </si>
  <si>
    <t xml:space="preserve">mult_sel
[4b]</t>
  </si>
  <si>
    <t xml:space="preserve">crc_sel
[4b]</t>
  </si>
  <si>
    <t xml:space="preserve">result_src
[3b]</t>
  </si>
  <si>
    <t xml:space="preserve">reg_write
[1b]</t>
  </si>
  <si>
    <t xml:space="preserve">halt
[1b]</t>
  </si>
  <si>
    <t xml:space="preserve">PRÓXIMO ESTADO</t>
  </si>
  <si>
    <t xml:space="preserve">OBSERVAÇÃO</t>
  </si>
  <si>
    <t xml:space="preserve">FETCH</t>
  </si>
  <si>
    <t xml:space="preserve">1</t>
  </si>
  <si>
    <t xml:space="preserve">0</t>
  </si>
  <si>
    <t xml:space="preserve">2</t>
  </si>
  <si>
    <t xml:space="preserve">ADD</t>
  </si>
  <si>
    <t xml:space="preserve">X</t>
  </si>
  <si>
    <t xml:space="preserve">DECODE</t>
  </si>
  <si>
    <t xml:space="preserve">ULA calcula PC+4 (reuso de hardware). Endereço vem do PC. Instrução entra no IR.</t>
  </si>
  <si>
    <t xml:space="preserve">ramifica por opcode</t>
  </si>
  <si>
    <t xml:space="preserve">Leitura de rs1/rs2 é assíncrona — nada a habilitar. Transição condicional.</t>
  </si>
  <si>
    <t xml:space="preserve">EX_ALU</t>
  </si>
  <si>
    <t xml:space="preserve">dec</t>
  </si>
  <si>
    <t xml:space="preserve">WB_ALU</t>
  </si>
  <si>
    <t xml:space="preserve">Serve R-type, I-type, LUI (PASS_B) e AUIPC. Ver aba de decodificação.</t>
  </si>
  <si>
    <t xml:space="preserve">Resultado da ULA para rd.</t>
  </si>
  <si>
    <t xml:space="preserve">EX_MUL</t>
  </si>
  <si>
    <t xml:space="preserve">WB_MUL</t>
  </si>
  <si>
    <t xml:space="preserve">mult_sel vem direto do funct3 (Tabela 10 = funct3).</t>
  </si>
  <si>
    <t xml:space="preserve">Resultado do multiplicador para rd.</t>
  </si>
  <si>
    <t xml:space="preserve">EX_CRC</t>
  </si>
  <si>
    <t xml:space="preserve">WB_CRC</t>
  </si>
  <si>
    <t xml:space="preserve">crc_sel vem direto do funct3 (Tabela 11).</t>
  </si>
  <si>
    <t xml:space="preserve">Resultado do CRC para rd.</t>
  </si>
  <si>
    <t xml:space="preserve">EX_ADDR</t>
  </si>
  <si>
    <t xml:space="preserve">MEM_READ (load) / MEM_WRITE (store)</t>
  </si>
  <si>
    <t xml:space="preserve">Endereço efetivo = rs1 + imediato. Transição condicional por opcode.</t>
  </si>
  <si>
    <t xml:space="preserve">MEM_READ</t>
  </si>
  <si>
    <t xml:space="preserve">MEM_CAP</t>
  </si>
  <si>
    <t xml:space="preserve">Endereço apresentado à DMEM. O DADO AINDA NÃO VOLTOU — memória síncrona.</t>
  </si>
  <si>
    <t xml:space="preserve">WB_LOAD</t>
  </si>
  <si>
    <t xml:space="preserve">Dado chega e é capturado. LSU faz extração e extensão conforme funct3.</t>
  </si>
  <si>
    <t xml:space="preserve">3</t>
  </si>
  <si>
    <t xml:space="preserve">Dado tratado pela LSU para rd.</t>
  </si>
  <si>
    <t xml:space="preserve">MEM_WRITE</t>
  </si>
  <si>
    <t xml:space="preserve">LSU gera bw[3:0] e alinha o dado. FSM só decide QUANDO.</t>
  </si>
  <si>
    <t xml:space="preserve">BRANCH</t>
  </si>
  <si>
    <t xml:space="preserve">cond</t>
  </si>
  <si>
    <t xml:space="preserve">pc_write depende do comparador de branch. Alvo = PC + imediato.</t>
  </si>
  <si>
    <t xml:space="preserve">JUMP</t>
  </si>
  <si>
    <t xml:space="preserve">WB_LINK</t>
  </si>
  <si>
    <t xml:space="preserve">alu_a_src: PC para JAL, rs1 para JALR. Não escreve o PC ainda.</t>
  </si>
  <si>
    <t xml:space="preserve">4</t>
  </si>
  <si>
    <t xml:space="preserve">Grava endereço de retorno em rd E atualiza o PC no mesmo ciclo.</t>
  </si>
  <si>
    <t xml:space="preserve">SYSTEM</t>
  </si>
  <si>
    <t xml:space="preserve">FETCH (ou congela)</t>
  </si>
  <si>
    <t xml:space="preserve">halt=1 para ECALL; FENCE é no-op. Depende da resposta a Q3.</t>
  </si>
  <si>
    <t xml:space="preserve">REVISAO v2 — laranja = problema confirmado ou condicional; amarelo = impacto moderado; cinza = revisto, NAO e erro. Passe o mouse sobre a celula para ler o comentario. Detalhes na aba 'Revisao Tecnica'.</t>
  </si>
  <si>
    <t xml:space="preserve">AUIPC precisa do PC ORIGINAL da instrução, mas o PC já foi incrementado no FETCH. Três saídas possíveis: (a) guardar o PC original num registrador auxiliar durante o FETCH; (b) usar a ULA para subtrair 4; (c) adiar o incremento do PC para o último estado de cada instrução. Decidir e registrar antes de codificar a FSM na Semana 5.</t>
  </si>
  <si>
    <t xml:space="preserve">REVISAO TECNICA v2 — cada achado reverificado contra o Block Guide</t>
  </si>
  <si>
    <t xml:space="preserve">STATUS: CONFIRMADO = erro certo na tabela · CONDICIONAL = erro ou nao, conforme uma decisao de datapath que a tabela ainda nao registra · RETIRADO = eu havia apontado, mas reverificando NAO e erro · INFO = observacao, sem defeito.</t>
  </si>
  <si>
    <t xml:space="preserve">#</t>
  </si>
  <si>
    <t xml:space="preserve">GRAVIDADE</t>
  </si>
  <si>
    <t xml:space="preserve">STATUS</t>
  </si>
  <si>
    <t xml:space="preserve">ACHADO</t>
  </si>
  <si>
    <t xml:space="preserve">EVIDENCIA / POR QUE</t>
  </si>
  <si>
    <t xml:space="preserve">CORRECAO</t>
  </si>
  <si>
    <t xml:space="preserve">ALTA</t>
  </si>
  <si>
    <t xml:space="preserve">CONFIRMADO</t>
  </si>
  <si>
    <t xml:space="preserve">PC incrementado no FETCH quebra as instrucoes PC-relativas</t>
  </si>
  <si>
    <t xml:space="preserve">No RISC-V o alvo e PC_DA_INSTRUCAO + imediato. Com pc_write=1 no FETCH (B6), a partir do ciclo 2 o PC ja vale PC+4. O estado BRANCH usa alu_a_src=1 (PC) e o JUMP idem para o JAL. Sao 8 instrucoes com alvo errado em 4 bytes: BEQ BNE BLT BGE BLTU BGEU JAL, mais o AUIPC que voce ja tinha marcado. JALR nao sofre (alvo = rs1 + imediato).</t>
  </si>
  <si>
    <t xml:space="preserve">Decisao A1 (recomendada): tirar o +4 da ULA e usar um somador dedicado com constante 4, alimentando pc_src=00 e result_src=4; o PC passa a guardar o endereco da instrucao e so e escrito no ultimo estado. Alternativa A2: registrador pc_old carregado no FETCH.</t>
  </si>
  <si>
    <t xml:space="preserve">CONDICIONAL</t>
  </si>
  <si>
    <t xml:space="preserve">A tabela nao registra se existem registradores intermediarios (ALUOut / MDR)</t>
  </si>
  <si>
    <t xml:space="preserve">Este e o ponto que eu havia afirmado com certeza demais. A Figura 2 do Block Guide e so um diagrama de alto nivel (Control Unit, Register File, ALU, CRC, MULT, LSU) e NAO mostra o datapath interno; o guia nao proibe ALUOut nem MDR, apenas nao os cita, e a secao 3.1.4 enumera 34 registradores (32 GPR + PC + IR). SE existirem: sua tabela esta correta como esta. SE nao existirem: o caminho EX-&gt;WB e combinacional e os estados WB/MEM estao desligando sinais que ainda estao sendo usados. Como a sua legenda manda escrever 0 onde ha 'X', e 4'h0 = PASS_B na Tabela 9, o efeito nao e resultado zerado — e um resultado plausivel e errado (rd recebe rs2), que e mais dificil de achar em waveform.</t>
  </si>
  <si>
    <t xml:space="preserve">Decidir e escrever a decisao na propria planilha. Sem registradores: repetir os valores 'dec' do estado EX nos estados WB (afeta H9 I9 J9, K11, L13). Com registradores: desenha-los no datapath do relatorio e explicar que carregam a cada ciclo, sem write enable.</t>
  </si>
  <si>
    <t xml:space="preserve">MEM_READ / MEM_CAP / MEM_WRITE com addr_src=1 e selects da ULA em X</t>
  </si>
  <si>
    <t xml:space="preserve">Mesma decisao do item 2 aplicada ao endereco. Sua legenda diz addr_src=1 = 'saida da ULA'. Se for a saida combinacional, com os selects em 0 a ULA faz PASS_B da entrada B. Agravante: load (tipo I) e store (tipo S) nao tem campo rs2 utilizavel, entao o banco leria um registrador escolhido por bits do imediato e o endereco enviado a DMEM seria arbitrario.</t>
  </si>
  <si>
    <t xml:space="preserve">Manter alu_a_src=0, alu_b_src=1, alu_sel=ADD durante MEM_READ, MEM_CAP e MEM_WRITE — ou registrar o endereco num ALUOut.</t>
  </si>
  <si>
    <t xml:space="preserve">WB_LOAD desliga addr_src e mem_read no ciclo do write-back</t>
  </si>
  <si>
    <t xml:space="preserve">Se nao houver MDR nem registro do dado dentro da LSU, com addr_src=0 o endereco volta a ser o PC; o decodificador de enderecos (secao 4.4) chaveia o barramento de dados para a IMEM e rd recebe os bits da proxima instrucao. Observacao: a DMEM e SRAM sincrona (secao 4.3) e normalmente mantem o dado na saida ate a proxima leitura, entao ha implementacoes em que isso funciona — mais um motivo para a decisao ficar escrita.</t>
  </si>
  <si>
    <t xml:space="preserve">Manter addr_src=1 e mem_read=1 no WB_LOAD, ou fundir MEM_CAP com WB_LOAD (o load cai de 6 para 5 ciclos).</t>
  </si>
  <si>
    <t xml:space="preserve">MEDIA</t>
  </si>
  <si>
    <t xml:space="preserve">DECODE 'ramifica por opcode' e insuficiente</t>
  </si>
  <si>
    <t xml:space="preserve">Tabelas 7 e 8: ADD (funct7=0000000), MUL (0000001) e CRCB (1000000) tem opcode 0110011 e funct3 000 IDENTICOS. Dentro do EX_ALU, ADD x SUB e SRL x SRA tambem dependem do bit 30. Cuidado com a armadilha do I-type: SRLI/SRAI usam o bit 30, mas em ADDI esse bit e parte do imediato e precisa ser ignorado.</t>
  </si>
  <si>
    <t xml:space="preserve">Registrar na coluna PROXIMO ESTADO que o desvio usa opcode + funct7 (+funct3). Isso ja adianta a tabela de codificacao opcode/funct3/funct7 exigida pelo Guia de Submissao.</t>
  </si>
  <si>
    <t xml:space="preserve">AUIPC com alu_a_src = 3</t>
  </si>
  <si>
    <t xml:space="preserve">alu_a_src tem 2 bits e a sua legenda define apenas 00 = rs1, 01 = PC, 10 = zero. O valor 3 (11) nao existe.</t>
  </si>
  <si>
    <t xml:space="preserve">Ja corrigido para 1 na aba de decodificacao (celula C41, em laranja).</t>
  </si>
  <si>
    <t xml:space="preserve">WB_LINK fixa pc_src=1; JALR precisa de pc_src=2</t>
  </si>
  <si>
    <t xml:space="preserve">A ISA manda zerar o bit 0 do alvo do JALR, e sua legenda ja reserva pc_src=10 para isso. Como JAL e JALR compartilham o WB_LINK, o valor fixo faz o JALR usar a entrada sem mascara. IMPACTO REAL MENOR do que eu disse antes: o decodificador ignora os 2 bits inferiores do endereco (secao 4.4), entao a busca ainda cai na palavra certa. E desvio de conformidade com a ISA, nao travamento.</t>
  </si>
  <si>
    <t xml:space="preserve">pc_src = 'dec' no WB_LINK e criar a coluna pc_src na aba de decodificacao (01 para JAL, 10 para JALR).</t>
  </si>
  <si>
    <t xml:space="preserve">Celulas em branco na aba de decodificacao</t>
  </si>
  <si>
    <t xml:space="preserve">Faltavam os alu_sel de SUB, SLT, SLTU, XOR, SRL, SRA, OR e AND, mais o result_src do SUB. Como as linhas I-type sao formulas apontando para as linhas R-type, 8 celulas vazias deixavam 17 instrucoes sem valor.</t>
  </si>
  <si>
    <t xml:space="preserve">Preenchido conforme a Tabela 9 e marcado em verde. Nenhuma celula em branco restou.</t>
  </si>
  <si>
    <t xml:space="preserve">BAIXA</t>
  </si>
  <si>
    <t xml:space="preserve">Faltam os estados RESET e HALT</t>
  </si>
  <si>
    <t xml:space="preserve">A FSM precisa de um estado inicial definido. O PC deve assumir 0x00400000, base da IMEM na Tabela 13 — nao 0x00000000. E o halt=1 do ECALL precisa de um estado terminal, senao a FSM continua buscando instrucoes.</t>
  </si>
  <si>
    <t xml:space="preserve">Linhas ja acrescentadas na aba 'FSM Corrigida (proposta)', marcadas em verde.</t>
  </si>
  <si>
    <t xml:space="preserve">RETIRADO</t>
  </si>
  <si>
    <t xml:space="preserve">'Branch nao tomado nunca avanca o PC'</t>
  </si>
  <si>
    <t xml:space="preserve">Eu classifiquei isto como erro alto. Reverificando: na SUA versao o PC ja foi incrementado no FETCH, entao pc_write=0 no branch nao tomado mantem o PC em PC+4, que e exatamente o correto. Nao ha erro aqui.</t>
  </si>
  <si>
    <t xml:space="preserve">Nada a fazer AGORA. Vira requisito (pc_write=1 sempre, pc_src=cond) apenas se voce adotar a Decisao A1, porque ai o PC nao tera sido incrementado antes.</t>
  </si>
  <si>
    <t xml:space="preserve">'SYSTEM precisa de pc_write=1 para o FENCE'</t>
  </si>
  <si>
    <t xml:space="preserve">Mesmo raciocinio: com o incremento no FETCH, o FENCE avanca corretamente com pc_write=0. So muda sob a Decisao A1.</t>
  </si>
  <si>
    <t xml:space="preserve">Nada a fazer agora.</t>
  </si>
  <si>
    <t xml:space="preserve">INFO</t>
  </si>
  <si>
    <t xml:space="preserve">FETCH em 1 ciclo x load em 2 — justificar</t>
  </si>
  <si>
    <t xml:space="preserve">Esta coerente SE a IMEM for ROM combinacional. O Block Guide afirma explicitamente que a DMEM e sincrona (secao 4.3) e nao diz o mesmo da IMEM (secao 4.2), o que sugere leitura combinacional — mas e inferencia minha, nao esta escrito.</t>
  </si>
  <si>
    <t xml:space="preserve">Confirmar com a sua implementacao da IMEM. Se ela for sincrona, o FETCH precisa de dois estados, igual ao load. Escrever a justificativa na coluna OBSERVACAO.</t>
  </si>
  <si>
    <t xml:space="preserve">alu_b_src=10 (constante 4) e alu_a_src=10 (zero) sem uso</t>
  </si>
  <si>
    <t xml:space="preserve">Nenhuma das 47 instrucoes usa alu_a_src=10 (LUI foi resolvido com PASS_B). E alu_b_src=10 so serve para o PC+4, que sai da ULA se voce adotar a Decisao A1.</t>
  </si>
  <si>
    <t xml:space="preserve">Remover as entradas dos muxes (economiza area no OpenLane) ou documentar como reservadas.</t>
  </si>
  <si>
    <t xml:space="preserve">Cobertura das 47 instrucoes: correta</t>
  </si>
  <si>
    <t xml:space="preserve">Guia de Submissao: 10+9+5+3+6+2+2+3+4+3 = 47. Sua aba tem exatamente esses nomes, com Sistema/Sincronizacao = FENCE, ECALL, EBREAK.</t>
  </si>
  <si>
    <t xml:space="preserve">Nada a fazer. Falta so a tabela de codificacao opcode/funct3/funct7, que e entregavel separado.</t>
  </si>
  <si>
    <t xml:space="preserve">mult_sel e crc_sel iguais ao funct3: confirmado</t>
  </si>
  <si>
    <t xml:space="preserve">Tabelas 7, 8, 10 e 11 batem: MUL 000 = 4'h0 ate MULHU 011 = 4'h3; CRCB 000 = 4'h0 ate CRCW 010 = 4'h2.</t>
  </si>
  <si>
    <t xml:space="preserve">Pode ligar funct3[1:0] direto no seletor e citar a economia de logica no relatorio.</t>
  </si>
  <si>
    <t xml:space="preserve">Sua duvida Q2 (convencao rs1/rs2 do CRC)</t>
  </si>
  <si>
    <t xml:space="preserve">Tabela 8: rd = CRC8/CRC16/CRC32(rs1, rs2). O guia nao diz qual operando e o CRC anterior, qual e o dado novo, nem o polinomio.</t>
  </si>
  <si>
    <t xml:space="preserve">Nao afeta a unidade de controle: crc_sel so escolhe a largura. Documente a convencao adotada no relatorio.</t>
  </si>
  <si>
    <t xml:space="preserve">Sua duvida Q3 (ECALL / EBREAK / FENCE)</t>
  </si>
  <si>
    <t xml:space="preserve">Sem modo privilegiado implementado, ECALL e EBREAK so fazem sentido como parada para o testbench. FENCE em nucleo em ordem sem cache e no-op.</t>
  </si>
  <si>
    <t xml:space="preserve">Sugestao: FENCE avanca o PC com halt=0; ECALL e EBREAK vao para HALT com halt=1. Registrar a escolha no relatorio.</t>
  </si>
  <si>
    <t xml:space="preserve">DECISAO A — como tratar o PC (escolha uma e registre no relatorio)</t>
  </si>
  <si>
    <t xml:space="preserve">A1 (recomendada) somador +4 dedicado</t>
  </si>
  <si>
    <t xml:space="preserve">O PC guarda sempre o endereco DA INSTRUCAO durante toda a execucao dela. Um somador de 32 bits com constante 4 calcula PC+4 e alimenta tanto a entrada 00 do mux do PC quanto o result_src=4 (endereco de retorno do JAL/JALR). O PC e escrito no ultimo estado de cada instrucao. Resolve AUIPC, os 6 branches e o JAL sem caso especial, e libera a ULA no FETCH. Exige ajustar BRANCH (pc_write=1, pc_src=cond) e SYSTEM (pc_write=dec).</t>
  </si>
  <si>
    <t xml:space="preserve">A2 registrador pc_old</t>
  </si>
  <si>
    <t xml:space="preserve">Mantem o incremento no FETCH e guarda o PC original num registrador auxiliar, que vira a fonte de alu_a_src=01. Custa 32 flip-flops + write enable e cria um 35o registrador fora da lista da secao 3.1.4 — funciona, mas precisa de justificativa no relatorio.</t>
  </si>
  <si>
    <t xml:space="preserve">A3 subtrair 4 na ULA</t>
  </si>
  <si>
    <t xml:space="preserve">Nao recomendada: gasta um estado extra ou um segundo somador e espalha caso especial pela decodificacao de 8 instrucoes.</t>
  </si>
  <si>
    <t xml:space="preserve">DECISAO B — existem registradores intermediarios (ALUOut / MDR) no seu datapath?</t>
  </si>
  <si>
    <t xml:space="preserve">B1 NAO existem</t>
  </si>
  <si>
    <t xml:space="preserve">Caminho EX-&gt;WB combinacional. E preciso MANTER os selects (alu_*, mult_sel, crc_sel, addr_src, mem_read) durante os estados WB e MEM. E o que a aba 'FSM Corrigida (proposta)' adota, por ficar mais proximo da lista de 34 registradores do Block Guide.</t>
  </si>
  <si>
    <t xml:space="preserve">B2 SIM, existem</t>
  </si>
  <si>
    <t xml:space="preserve">A sua tabela original ja esta correta nesses pontos. ALUOut e MDR carregam a cada ciclo, sem write enable proprio (so o IR precisa de ir_write, porque a instrucao tem de persistir). Nesse caso, desenhe os dois no datapath do relatorio e explique a escolha.</t>
  </si>
  <si>
    <t xml:space="preserve">TABELA DE SINAIS DE CONTROLE — VERSAO REVISADA (adota a Decisao A1: PC guarda o endereco da instrucao; +4 por somador dedicado)</t>
  </si>
  <si>
    <t xml:space="preserve">Esta proposta assume Decisao A1 (PC guarda o endereco da instrucao, +4 por somador dedicado) e Decisao B1 (sem ALUOut/MDR). Se voce escolher B2, os selects podem voltar a 'X' nos estados WB e MEM. Laranja = mudou; verde = estado novo.</t>
  </si>
  <si>
    <t xml:space="preserve">PROXIMO ESTADO</t>
  </si>
  <si>
    <t xml:space="preserve">OBSERVACAO</t>
  </si>
  <si>
    <t xml:space="preserve">RESET</t>
  </si>
  <si>
    <t xml:space="preserve">PC &lt;- 0x00400000 (base da IMEM, Tabela 13). Reset do banco nao e necessario: x0 e hardwired.</t>
  </si>
  <si>
    <t xml:space="preserve">IMEM e ROM combinacional (secao 4.2): endereco e instrucao no mesmo ciclo. O PC NAO e mais incrementado aqui.</t>
  </si>
  <si>
    <t xml:space="preserve">ramifica por opcode + funct7 (+funct3)</t>
  </si>
  <si>
    <t xml:space="preserve">Leitura de rs1/rs2 e assincrona. Atencao: 0110011 e compartilhado — funct7 0000000/0100000 -&gt; EX_ALU, 0000001 -&gt; EX_MUL, 1000000 -&gt; EX_CRC.</t>
  </si>
  <si>
    <t xml:space="preserve">R-type, I-type, LUI (PASS_B) e AUIPC (alu_a_src=01 = PC da instrucao).</t>
  </si>
  <si>
    <t xml:space="preserve">Selects da ULA MANTIDOS: nao ha registrador ALUOut, o resultado e combinacional. PC avanca aqui (PC+4).</t>
  </si>
  <si>
    <t xml:space="preserve">Multiplicador e combinacional (secao 3.1.2) e recebe rs1/rs2 direto do banco. mult_sel = funct3.</t>
  </si>
  <si>
    <t xml:space="preserve">mult_sel mantido pelo mesmo motivo do WB_ALU.</t>
  </si>
  <si>
    <t xml:space="preserve">CRC sem latencia (secao 3.1.3), entradas rs1/rs2 diretas. crc_sel = funct3.</t>
  </si>
  <si>
    <t xml:space="preserve">crc_sel mantido.</t>
  </si>
  <si>
    <t xml:space="preserve">Endereco efetivo = rs1 + imediato. Desvio por opcode: 0000011 -&gt; load, 0100011 -&gt; store.</t>
  </si>
  <si>
    <t xml:space="preserve">Selects da ULA MANTIDOS: addr_src=1 le a saida da ULA. Dado ainda nao voltou (DMEM sincrona, secao 4.3).</t>
  </si>
  <si>
    <t xml:space="preserve">Dado valido em data_i. LSU faz extracao/extensao por funct3. Pode ser fundido com WB_LOAD (load em 5 ciclos).</t>
  </si>
  <si>
    <t xml:space="preserve">Endereco e oe mantidos para o dado permanecer estavel (nao ha MDR). PC avanca aqui.</t>
  </si>
  <si>
    <t xml:space="preserve">we_o nunca chega a IMEM (bloqueado no decodificador de enderecos, secao 4.4). LSU gera bw_o e alinha o dado.</t>
  </si>
  <si>
    <t xml:space="preserve">pc_write=1 SEMPRE. pc_src = cond: 00 (PC+4) se nao tomado, 01 (alvo) se tomado. Alvo = PC da instrucao + imediato.</t>
  </si>
  <si>
    <t xml:space="preserve">alu_a_src: 01 (PC) para JAL, 00 (rs1) para JALR.</t>
  </si>
  <si>
    <t xml:space="preserve">pc_src = 01 (JAL) ou 10 (JALR, bit 0 zerado). result_src=4 = PC+4 vindo do somador dedicado. Selects da ULA mantidos.</t>
  </si>
  <si>
    <t xml:space="preserve">FETCH (FENCE) / HALT (ECALL, EBREAK)</t>
  </si>
  <si>
    <t xml:space="preserve">FENCE: pc_write=1, halt=0 (no-op num nucleo em ordem sem cache). ECALL/EBREAK: pc_write=0, halt=1.</t>
  </si>
  <si>
    <t xml:space="preserve">HALT</t>
  </si>
  <si>
    <t xml:space="preserve">Estado terminal ate rst_i. E o sinal que o testbench de sistema usa para encerrar a simulacao.</t>
  </si>
  <si>
    <t xml:space="preserve">CONTAGEM DE CICLOS: ALU/MUL/CRC/LUI/AUIPC = 4 · load = 6 (5 se fundir MEM_CAP+WB_LOAD) · store = 4 · branch = 3 · jump = 4.</t>
  </si>
  <si>
    <t xml:space="preserve">CONSEQUENCIA DA DECISAO A1: alu_b_src=10 (constante 4) deixa de ser usado — remover do mux ou documentar como reservado.</t>
  </si>
  <si>
    <t xml:space="preserve">A aba 'Trilhas de Referencia' ainda descreve o incremento do PC no FETCH — atualize as seis trilhas depois de fechar a Decisao A.</t>
  </si>
  <si>
    <t xml:space="preserve">LEGENDA — significado e codificação de cada sinal de controle</t>
  </si>
  <si>
    <t xml:space="preserve">Estes valores devem espelhar exatamente o arquivo defines.vh. Se algo mudar aqui, muda lá — e vice-versa.</t>
  </si>
  <si>
    <t xml:space="preserve">SINAL</t>
  </si>
  <si>
    <t xml:space="preserve">LARGURA</t>
  </si>
  <si>
    <t xml:space="preserve">O QUE CONTROLA</t>
  </si>
  <si>
    <t xml:space="preserve">CODIFICAÇÃO DOS VALORES</t>
  </si>
  <si>
    <t xml:space="preserve">pc_write</t>
  </si>
  <si>
    <t xml:space="preserve">1 bit</t>
  </si>
  <si>
    <t xml:space="preserve">Habilita a atualização do contador de programa</t>
  </si>
  <si>
    <t xml:space="preserve">0 = mantém | 1 = atualiza</t>
  </si>
  <si>
    <t xml:space="preserve">pc_src</t>
  </si>
  <si>
    <t xml:space="preserve">2 bits</t>
  </si>
  <si>
    <t xml:space="preserve">Seleciona a fonte do próximo valor do PC</t>
  </si>
  <si>
    <t xml:space="preserve">00 = saída da ULA (PC+4) | 01 = alvo de desvio/salto | 10 = alvo de JALR (com bit 0 zerado)</t>
  </si>
  <si>
    <t xml:space="preserve">ir_write</t>
  </si>
  <si>
    <t xml:space="preserve">Captura a instrução buscada no registrador de instrução</t>
  </si>
  <si>
    <t xml:space="preserve">0 = mantém · 1 = captura</t>
  </si>
  <si>
    <t xml:space="preserve">addr_src</t>
  </si>
  <si>
    <t xml:space="preserve">Escolhe o endereço enviado à memória</t>
  </si>
  <si>
    <t xml:space="preserve">0 = PC (busca de instrução) · 1 = saída da ULA (acesso a dado)</t>
  </si>
  <si>
    <t xml:space="preserve">mem_read</t>
  </si>
  <si>
    <t xml:space="preserve">Output enable — pedido de leitura à memória</t>
  </si>
  <si>
    <t xml:space="preserve">0 = inativo · 1 = leitura</t>
  </si>
  <si>
    <t xml:space="preserve">mem_write</t>
  </si>
  <si>
    <t xml:space="preserve">Write enable — pedido de escrita à memória</t>
  </si>
  <si>
    <t xml:space="preserve">0 = inativo · 1 = escrita. Nunca chega à IMEM (bloqueado no decodificador).</t>
  </si>
  <si>
    <t xml:space="preserve">alu_a_src</t>
  </si>
  <si>
    <t xml:space="preserve">Seleciona o operando A da ULA</t>
  </si>
  <si>
    <t xml:space="preserve">00 = rs1 | 01 = PC | 10 = constante zero</t>
  </si>
  <si>
    <t xml:space="preserve">alu_b_src</t>
  </si>
  <si>
    <t xml:space="preserve">Seleciona o operando B da ULA</t>
  </si>
  <si>
    <t xml:space="preserve">00 = rs2 | 01 = imediato estendido | 10 = constante 4</t>
  </si>
  <si>
    <t xml:space="preserve">alu_sel</t>
  </si>
  <si>
    <t xml:space="preserve">4 bits</t>
  </si>
  <si>
    <t xml:space="preserve">Operação da ULA — Tabela 9 do Block Guide</t>
  </si>
  <si>
    <t xml:space="preserve">PASS_B, ADD, SUB, AND, OR, XOR, SLL, SRL, SRA, SLT, SLTU (códigos 4'h0 a 4'hA)</t>
  </si>
  <si>
    <t xml:space="preserve">mult_sel</t>
  </si>
  <si>
    <t xml:space="preserve">Operação do multiplicador — Tabela 10 do Block Guide</t>
  </si>
  <si>
    <t xml:space="preserve">0 = MUL · 1 = MULH · 2 = MULHSU · 3 = MULHU (coincide com o funct3)</t>
  </si>
  <si>
    <t xml:space="preserve">crc_sel</t>
  </si>
  <si>
    <t xml:space="preserve">Operação do CRC — Tabela 11 do Block Guide</t>
  </si>
  <si>
    <t xml:space="preserve">0 = CRCB · 1 = CRCH · 2 = CRCW (coincide com o funct3)</t>
  </si>
  <si>
    <t xml:space="preserve">result_src</t>
  </si>
  <si>
    <t xml:space="preserve">3 bits</t>
  </si>
  <si>
    <t xml:space="preserve">Seleciona o que alimenta a escrita no banco de registradores</t>
  </si>
  <si>
    <t xml:space="preserve">0 = ULA · 1 = multiplicador · 2 = CRC · 3 = LSU (dado de load) · 4 = PC (endereço de retorno)</t>
  </si>
  <si>
    <t xml:space="preserve">reg_write</t>
  </si>
  <si>
    <t xml:space="preserve">Habilita a escrita em rd no banco de registradores</t>
  </si>
  <si>
    <t xml:space="preserve">0 = inativo · 1 = escreve. Escrita em x0 é ignorada pelo próprio banco.</t>
  </si>
  <si>
    <t xml:space="preserve">halt</t>
  </si>
  <si>
    <t xml:space="preserve">Sinaliza fim de execução do firmware</t>
  </si>
  <si>
    <t xml:space="preserve">0 = executando · 1 = parado. Usado pelo testbench de sistema para encerrar.</t>
  </si>
  <si>
    <t xml:space="preserve">CONVENÇÕES DE PREENCHIMENTO</t>
  </si>
  <si>
    <t xml:space="preserve">• dec — o valor é decodificado da instrução; consultar a aba 'Decodificação por Instrução'.</t>
  </si>
  <si>
    <t xml:space="preserve">• cond — o valor depende de uma condição avaliada em tempo de execução (ex.: resultado do comparador de branch).</t>
  </si>
  <si>
    <t xml:space="preserve">• X — o sinal é irrelevante neste estado. NO RTL, ESCREVER 0 EXPLICITAMENTE: célula vazia ou 'don't care' implícito gera latch inferida.</t>
  </si>
  <si>
    <t xml:space="preserve">• Nenhuma célula pode ficar em branco. Em branco significa 'ainda não pensei', e isso vira defeito de síntese.</t>
  </si>
  <si>
    <t xml:space="preserve">TRILHAS DE REFERÊNCIA — seis instruções percorridas ciclo a ciclo</t>
  </si>
  <si>
    <t xml:space="preserve">Gabarito de formato. Use estas seis como modelo para validar a tabela da primeira aba. Teste de conclusão: narre o 'lw' em voz alta olhando só para esta tabela.</t>
  </si>
  <si>
    <t xml:space="preserve">INSTRUÇÃO</t>
  </si>
  <si>
    <t xml:space="preserve">CICLO</t>
  </si>
  <si>
    <t xml:space="preserve">O QUE ACONTECE NESTE CICLO</t>
  </si>
  <si>
    <t xml:space="preserve">SINAIS RELEVANTES</t>
  </si>
  <si>
    <t xml:space="preserve">add x1,x2,x3</t>
  </si>
  <si>
    <t xml:space="preserve">Busca a instrução no endereço do PC e incrementa o PC</t>
  </si>
  <si>
    <t xml:space="preserve">addr_src=0, mem_read=1, ir_write=1, alu(PC+4), pc_write=1</t>
  </si>
  <si>
    <t xml:space="preserve">Lê rs1=x2 e rs3=x3 do banco (assíncrono); decide o ramo</t>
  </si>
  <si>
    <t xml:space="preserve">tudo em 0</t>
  </si>
  <si>
    <t xml:space="preserve">ULA soma os dois registradores</t>
  </si>
  <si>
    <t xml:space="preserve">alu_a_src=0, alu_b_src=0, alu_sel=ADD</t>
  </si>
  <si>
    <t xml:space="preserve">Resultado vai para x1</t>
  </si>
  <si>
    <t xml:space="preserve">result_src=0, reg_write=1</t>
  </si>
  <si>
    <t xml:space="preserve">addi x1,x2,10</t>
  </si>
  <si>
    <t xml:space="preserve">Idêntico ao anterior</t>
  </si>
  <si>
    <t xml:space="preserve">addr_src=0, mem_read=1, ir_write=1, pc_write=1</t>
  </si>
  <si>
    <t xml:space="preserve">Lê rs1=x2; o imediato já está estendido</t>
  </si>
  <si>
    <t xml:space="preserve">ULA soma rs1 com o imediato</t>
  </si>
  <si>
    <t xml:space="preserve">alu_a_src=0, alu_b_src=1, alu_sel=ADD</t>
  </si>
  <si>
    <t xml:space="preserve">lw x1,8(x2)</t>
  </si>
  <si>
    <t xml:space="preserve">Busca a instrução</t>
  </si>
  <si>
    <t xml:space="preserve">Lê rs1=x2</t>
  </si>
  <si>
    <t xml:space="preserve">ULA calcula o endereço efetivo rs1+imediato</t>
  </si>
  <si>
    <t xml:space="preserve">Endereço vai à DMEM. O DADO AINDA NÃO VOLTOU</t>
  </si>
  <si>
    <t xml:space="preserve">addr_src=1, mem_read=1</t>
  </si>
  <si>
    <t xml:space="preserve">5</t>
  </si>
  <si>
    <t xml:space="preserve">Dado chega; LSU seleciona e estende conforme funct3</t>
  </si>
  <si>
    <t xml:space="preserve">6</t>
  </si>
  <si>
    <t xml:space="preserve">Dado tratado vai para x1</t>
  </si>
  <si>
    <t xml:space="preserve">result_src=3, reg_write=1</t>
  </si>
  <si>
    <t xml:space="preserve">sw x3,8(x2)</t>
  </si>
  <si>
    <t xml:space="preserve">Lê rs1=x2 e rs2=x3</t>
  </si>
  <si>
    <t xml:space="preserve">ULA calcula o endereço efetivo</t>
  </si>
  <si>
    <t xml:space="preserve">LSU alinha o dado e gera bw; escrita na DMEM</t>
  </si>
  <si>
    <t xml:space="preserve">addr_src=1, mem_write=1</t>
  </si>
  <si>
    <t xml:space="preserve">beq x1,x2,label</t>
  </si>
  <si>
    <t xml:space="preserve">Lê rs1 e rs2; comparador avalia a condição</t>
  </si>
  <si>
    <t xml:space="preserve">ULA calcula PC+imediato; PC só é escrito se a condição for verdadeira</t>
  </si>
  <si>
    <t xml:space="preserve">alu_a_src=1, alu_b_src=1, alu_sel=ADD, pc_src=1, pc_write=cond</t>
  </si>
  <si>
    <t xml:space="preserve">jal x1,label</t>
  </si>
  <si>
    <t xml:space="preserve">Busca a instrução; PC passa a valer PC+4 (futuro endereço de retorno)</t>
  </si>
  <si>
    <t xml:space="preserve">ir_write=1, pc_write=1</t>
  </si>
  <si>
    <t xml:space="preserve">Decodifica o salto</t>
  </si>
  <si>
    <t xml:space="preserve">ULA calcula o alvo PC+imediato. PC ainda não é escrito</t>
  </si>
  <si>
    <t xml:space="preserve">alu_a_src=1, alu_b_src=1, alu_sel=ADD</t>
  </si>
  <si>
    <t xml:space="preserve">Grava o retorno em x1 E atualiza o PC no mesmo ciclo</t>
  </si>
  <si>
    <t xml:space="preserve">result_src=4, reg_write=1, pc_src=1, pc_write=1</t>
  </si>
  <si>
    <t xml:space="preserve">DECODIFICAÇÃO POR INSTRUÇÃO — valores dos sinais marcados como 'dec'</t>
  </si>
  <si>
    <t xml:space="preserve">Células AMARELAS: preencher. As seis primeiras linhas de cada bloco estão preenchidas como exemplo (fundo verde). 'Caminho' = sequência de estados após o DECODE.</t>
  </si>
  <si>
    <t xml:space="preserve">CAMINHO DE ESTADOS</t>
  </si>
  <si>
    <t xml:space="preserve">EX_ALU → WB_ALU</t>
  </si>
  <si>
    <t xml:space="preserve">ADD (4'h1)</t>
  </si>
  <si>
    <t xml:space="preserve">SUB</t>
  </si>
  <si>
    <t xml:space="preserve">SUB (4'h2)</t>
  </si>
  <si>
    <t xml:space="preserve">SLL</t>
  </si>
  <si>
    <t xml:space="preserve">SLL (4'h6)</t>
  </si>
  <si>
    <t xml:space="preserve">SLT</t>
  </si>
  <si>
    <t xml:space="preserve">SLT (4'h9)</t>
  </si>
  <si>
    <t xml:space="preserve">SLTU</t>
  </si>
  <si>
    <t xml:space="preserve">SLTU (4'hA)</t>
  </si>
  <si>
    <t xml:space="preserve">XOR</t>
  </si>
  <si>
    <t xml:space="preserve">XOR (4'h5)</t>
  </si>
  <si>
    <t xml:space="preserve">SRL</t>
  </si>
  <si>
    <t xml:space="preserve">SRL (4'h7)</t>
  </si>
  <si>
    <t xml:space="preserve">SRA</t>
  </si>
  <si>
    <t xml:space="preserve">SRA (4'h8)</t>
  </si>
  <si>
    <t xml:space="preserve">OR</t>
  </si>
  <si>
    <t xml:space="preserve">OR (4'h4)</t>
  </si>
  <si>
    <t xml:space="preserve">AND</t>
  </si>
  <si>
    <t xml:space="preserve">AND (4'h3)</t>
  </si>
  <si>
    <t xml:space="preserve">ADDI</t>
  </si>
  <si>
    <t xml:space="preserve">SLTI</t>
  </si>
  <si>
    <t xml:space="preserve">SLTIU</t>
  </si>
  <si>
    <t xml:space="preserve">XORI</t>
  </si>
  <si>
    <t xml:space="preserve">ORI</t>
  </si>
  <si>
    <t xml:space="preserve">ANDI</t>
  </si>
  <si>
    <t xml:space="preserve">SLLI</t>
  </si>
  <si>
    <t xml:space="preserve">Só os 5 bits inferiores do imediato importam</t>
  </si>
  <si>
    <t xml:space="preserve">SRLI</t>
  </si>
  <si>
    <t xml:space="preserve">SRAI</t>
  </si>
  <si>
    <t xml:space="preserve">LB</t>
  </si>
  <si>
    <t xml:space="preserve">EX_ADDR → MEM_READ → MEM_CAP → WB_LOAD</t>
  </si>
  <si>
    <t xml:space="preserve">funct3 vai à LSU: extensão de sinal, 8 bits</t>
  </si>
  <si>
    <t xml:space="preserve">LH</t>
  </si>
  <si>
    <t xml:space="preserve">LW</t>
  </si>
  <si>
    <t xml:space="preserve">LBU</t>
  </si>
  <si>
    <t xml:space="preserve">LHU</t>
  </si>
  <si>
    <t xml:space="preserve">SB</t>
  </si>
  <si>
    <t xml:space="preserve">EX_ADDR → MEM_WRITE</t>
  </si>
  <si>
    <t xml:space="preserve">SH</t>
  </si>
  <si>
    <t xml:space="preserve">SW</t>
  </si>
  <si>
    <t xml:space="preserve">LSU gera bw=1111 e não desloca o dado</t>
  </si>
  <si>
    <t xml:space="preserve">BEQ</t>
  </si>
  <si>
    <t xml:space="preserve">pc_write/pc_src vem do comparador. Alvo = PC(da instrucao) + imediato.</t>
  </si>
  <si>
    <t xml:space="preserve">BNE</t>
  </si>
  <si>
    <t xml:space="preserve">BLT</t>
  </si>
  <si>
    <t xml:space="preserve">BGE</t>
  </si>
  <si>
    <t xml:space="preserve">BLTU</t>
  </si>
  <si>
    <t xml:space="preserve">BGEU</t>
  </si>
  <si>
    <t xml:space="preserve">JAL</t>
  </si>
  <si>
    <t xml:space="preserve">JUMP → WB_LINK</t>
  </si>
  <si>
    <t xml:space="preserve">Alvo = PC(da instrucao) + imediato -&gt; pc_src = 01. Link em rd = PC+4.</t>
  </si>
  <si>
    <t xml:space="preserve">JALR</t>
  </si>
  <si>
    <t xml:space="preserve">Alvo = rs1 + imediato, bit 0 zerado -&gt; exige pc_src = 10 (o WB_LINK NAO pode fixar pc_src = 01).</t>
  </si>
  <si>
    <t xml:space="preserve">LUI</t>
  </si>
  <si>
    <t xml:space="preserve">PASS_B (4'h0)</t>
  </si>
  <si>
    <t xml:space="preserve">Usar PASS_B: a saída é o próprio imediato</t>
  </si>
  <si>
    <t xml:space="preserve">AUIPC</t>
  </si>
  <si>
    <t xml:space="preserve">CORRIGIDO (era 3, valor inexistente). Precisa do PC da propria instrucao — ver Decisao A na aba 'Revisao Tecnica'.</t>
  </si>
  <si>
    <t xml:space="preserve">FENCE</t>
  </si>
  <si>
    <t xml:space="preserve">No-op num núcleo em ordem sem cache</t>
  </si>
  <si>
    <t xml:space="preserve">ECALL</t>
  </si>
  <si>
    <t xml:space="preserve">Ativa halt=1</t>
  </si>
  <si>
    <t xml:space="preserve">EBREAK</t>
  </si>
  <si>
    <t xml:space="preserve">Decidir se também ativa halt</t>
  </si>
  <si>
    <t xml:space="preserve">MUL</t>
  </si>
  <si>
    <t xml:space="preserve">EX_MUL → WB_MUL</t>
  </si>
  <si>
    <t xml:space="preserve">MULH</t>
  </si>
  <si>
    <t xml:space="preserve">MULHSU</t>
  </si>
  <si>
    <t xml:space="preserve">MULHU</t>
  </si>
  <si>
    <t xml:space="preserve">CRCB</t>
  </si>
  <si>
    <t xml:space="preserve">EX_CRC → WB_CRC</t>
  </si>
  <si>
    <t xml:space="preserve">Xicrc: opcode 0110011 com funct7 = 1000000. Entradas rs1/rs2 vao direto ao bloco CRC.</t>
  </si>
  <si>
    <t xml:space="preserve">CRCH</t>
  </si>
  <si>
    <t xml:space="preserve">CRCW</t>
  </si>
  <si>
    <t xml:space="preserve">VALIDAÇÃO FINAL</t>
  </si>
  <si>
    <t xml:space="preserve">☐  Toda célula amarela preenchida — nenhuma em branco.</t>
  </si>
  <si>
    <t xml:space="preserve">☐  Narre 'lw' em voz alta olhando só a tabela. Se precisar imaginar algum passo, falta preencher.</t>
  </si>
  <si>
    <t xml:space="preserve">☐  Faça o mesmo com 'beq' tomado, 'beq' não tomado e 'crcb'. São os que mais expõem lacuna.</t>
  </si>
  <si>
    <t xml:space="preserve">☐  Confira que os 47 nomes desta aba batem com os 47 da sua tabela de codificação.</t>
  </si>
  <si>
    <t xml:space="preserve">☑  AUIPC corrigido para alu_a_src=1; falta escolher a estrategia de PC (Decisao A).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</si>
</sst>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3A63"/>
      <name val="Arial"/>
      <family val="0"/>
      <charset val="1"/>
    </font>
    <font>
      <sz val="9"/>
      <color theme="1"/>
      <name val="Arial"/>
      <family val="0"/>
      <charset val="1"/>
    </font>
    <font>
      <i val="true"/>
      <sz val="9"/>
      <color rgb="FFA8480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23A63"/>
      <name val="Arial"/>
      <family val="0"/>
      <charset val="1"/>
    </font>
    <font>
      <sz val="9"/>
      <color theme="1"/>
      <name val="Consolas"/>
      <family val="0"/>
      <charset val="1"/>
    </font>
    <font>
      <b val="true"/>
      <sz val="9"/>
      <color rgb="FFA8480F"/>
      <name val="Consolas"/>
      <family val="0"/>
      <charset val="1"/>
    </font>
    <font>
      <b val="true"/>
      <sz val="10"/>
      <color rgb="FFA5281B"/>
      <name val="Arial"/>
      <family val="0"/>
      <charset val="1"/>
    </font>
    <font>
      <sz val="9"/>
      <color rgb="FFA5281B"/>
      <name val="Arial"/>
      <family val="0"/>
      <charset val="1"/>
    </font>
    <font>
      <sz val="10"/>
      <name val="Arial"/>
      <family val="2"/>
    </font>
    <font>
      <b val="true"/>
      <sz val="12"/>
      <name val="Consolas"/>
      <family val="0"/>
      <charset val="1"/>
    </font>
    <font>
      <i val="true"/>
      <sz val="9"/>
      <name val="Consolas"/>
      <family val="0"/>
      <charset val="1"/>
    </font>
    <font>
      <b val="true"/>
      <sz val="9"/>
      <color rgb="FFFFFFFF"/>
      <name val="Consolas"/>
      <family val="0"/>
      <charset val="1"/>
    </font>
    <font>
      <sz val="9"/>
      <name val="Consolas"/>
      <family val="0"/>
      <charset val="1"/>
    </font>
    <font>
      <b val="true"/>
      <sz val="9"/>
      <name val="Consolas"/>
      <family val="0"/>
      <charset val="1"/>
    </font>
    <font>
      <b val="true"/>
      <sz val="10"/>
      <name val="Consolas"/>
      <family val="0"/>
      <charset val="1"/>
    </font>
    <font>
      <b val="true"/>
      <sz val="11"/>
      <name val="Consolas"/>
      <family val="0"/>
      <charset val="1"/>
    </font>
    <font>
      <b val="true"/>
      <sz val="11"/>
      <color rgb="FF123A63"/>
      <name val="Arial"/>
      <family val="0"/>
      <charset val="1"/>
    </font>
    <font>
      <b val="true"/>
      <sz val="10"/>
      <color theme="1"/>
      <name val="Consolas"/>
      <family val="0"/>
      <charset val="1"/>
    </font>
    <font>
      <b val="true"/>
      <sz val="9"/>
      <color rgb="FF123A63"/>
      <name val="Arial"/>
      <family val="0"/>
      <charset val="1"/>
    </font>
    <font>
      <b val="true"/>
      <sz val="9"/>
      <color theme="1"/>
      <name val="Consolas"/>
      <family val="0"/>
      <charset val="1"/>
    </font>
    <font>
      <sz val="11"/>
      <color theme="1"/>
      <name val="Calibri"/>
      <family val="0"/>
      <charset val="1"/>
    </font>
    <font>
      <b val="true"/>
      <sz val="11"/>
      <color rgb="FF1C704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23A63"/>
        <bgColor rgb="FF333399"/>
      </patternFill>
    </fill>
    <fill>
      <patternFill patternType="solid">
        <fgColor rgb="FFF8CBAD"/>
        <bgColor rgb="FFD9D9D9"/>
      </patternFill>
    </fill>
    <fill>
      <patternFill patternType="solid">
        <fgColor rgb="FFE4F2E9"/>
        <bgColor rgb="FFEDEDED"/>
      </patternFill>
    </fill>
    <fill>
      <patternFill patternType="solid">
        <fgColor rgb="FFEDEDED"/>
        <bgColor rgb="FFE4F2E9"/>
      </patternFill>
    </fill>
    <fill>
      <patternFill patternType="solid">
        <fgColor rgb="FFFFF2CC"/>
        <bgColor rgb="FFEDEDED"/>
      </patternFill>
    </fill>
    <fill>
      <patternFill patternType="solid">
        <fgColor rgb="FFD9D9D9"/>
        <bgColor rgb="FFC8C8C8"/>
      </patternFill>
    </fill>
    <fill>
      <patternFill patternType="solid">
        <fgColor rgb="FFDDEBF7"/>
        <bgColor rgb="FFE4F2E9"/>
      </patternFill>
    </fill>
    <fill>
      <patternFill patternType="solid">
        <fgColor rgb="FF404040"/>
        <bgColor rgb="FF333300"/>
      </patternFill>
    </fill>
    <fill>
      <patternFill patternType="solid">
        <fgColor rgb="FFF5F8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C7040"/>
      <rgbColor rgb="FF000080"/>
      <rgbColor rgb="FF808000"/>
      <rgbColor rgb="FF800080"/>
      <rgbColor rgb="FF008080"/>
      <rgbColor rgb="FFBFBFBF"/>
      <rgbColor rgb="FF808080"/>
      <rgbColor rgb="FF9999FF"/>
      <rgbColor rgb="FFA8480F"/>
      <rgbColor rgb="FFFFF2CC"/>
      <rgbColor rgb="FFE4F2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DEDED"/>
      <rgbColor rgb="FFF5F8FB"/>
      <rgbColor rgb="FFC8C8C8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A63"/>
      <rgbColor rgb="FF339966"/>
      <rgbColor rgb="FF003300"/>
      <rgbColor rgb="FF333300"/>
      <rgbColor rgb="FFA5281B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15" min="2" style="1" width="9.57"/>
    <col collapsed="false" customWidth="true" hidden="false" outlineLevel="0" max="16" min="16" style="1" width="22"/>
    <col collapsed="false" customWidth="true" hidden="false" outlineLevel="0" max="17" min="17" style="1" width="58"/>
    <col collapsed="false" customWidth="true" hidden="false" outlineLevel="0" max="26" min="18" style="1" width="8.71"/>
  </cols>
  <sheetData>
    <row r="1" customFormat="false" ht="13.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3.5" hidden="false" customHeight="true" outlineLevel="0" collapsed="false"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3.5" hidden="false" customHeight="true" outlineLevel="0" collapsed="false"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13.5" hidden="false" customHeight="true" outlineLevel="0" collapsed="false"/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</row>
    <row r="6" customFormat="false" ht="25.5" hidden="false" customHeight="true" outlineLevel="0" collapsed="false">
      <c r="A6" s="6" t="s">
        <v>20</v>
      </c>
      <c r="B6" s="7" t="s">
        <v>21</v>
      </c>
      <c r="C6" s="7" t="s">
        <v>22</v>
      </c>
      <c r="D6" s="8" t="s">
        <v>21</v>
      </c>
      <c r="E6" s="8" t="s">
        <v>22</v>
      </c>
      <c r="F6" s="8" t="s">
        <v>21</v>
      </c>
      <c r="G6" s="8" t="s">
        <v>22</v>
      </c>
      <c r="H6" s="8" t="s">
        <v>21</v>
      </c>
      <c r="I6" s="8" t="s">
        <v>23</v>
      </c>
      <c r="J6" s="8" t="s">
        <v>24</v>
      </c>
      <c r="K6" s="9" t="s">
        <v>25</v>
      </c>
      <c r="L6" s="9" t="s">
        <v>25</v>
      </c>
      <c r="M6" s="9" t="s">
        <v>25</v>
      </c>
      <c r="N6" s="8" t="s">
        <v>22</v>
      </c>
      <c r="O6" s="8" t="s">
        <v>22</v>
      </c>
      <c r="P6" s="10" t="s">
        <v>26</v>
      </c>
      <c r="Q6" s="11" t="s">
        <v>27</v>
      </c>
    </row>
    <row r="7" customFormat="false" ht="25.5" hidden="false" customHeight="true" outlineLevel="0" collapsed="false">
      <c r="A7" s="6" t="s">
        <v>26</v>
      </c>
      <c r="B7" s="8" t="s">
        <v>22</v>
      </c>
      <c r="C7" s="9" t="s">
        <v>25</v>
      </c>
      <c r="D7" s="8" t="s">
        <v>22</v>
      </c>
      <c r="E7" s="9" t="s">
        <v>25</v>
      </c>
      <c r="F7" s="8" t="s">
        <v>22</v>
      </c>
      <c r="G7" s="8" t="s">
        <v>22</v>
      </c>
      <c r="H7" s="9" t="s">
        <v>25</v>
      </c>
      <c r="I7" s="9" t="s">
        <v>25</v>
      </c>
      <c r="J7" s="9" t="s">
        <v>25</v>
      </c>
      <c r="K7" s="9" t="s">
        <v>25</v>
      </c>
      <c r="L7" s="9" t="s">
        <v>25</v>
      </c>
      <c r="M7" s="9" t="s">
        <v>25</v>
      </c>
      <c r="N7" s="8" t="s">
        <v>22</v>
      </c>
      <c r="O7" s="8" t="s">
        <v>22</v>
      </c>
      <c r="P7" s="12" t="s">
        <v>28</v>
      </c>
      <c r="Q7" s="11" t="s">
        <v>29</v>
      </c>
    </row>
    <row r="8" customFormat="false" ht="25.5" hidden="false" customHeight="true" outlineLevel="0" collapsed="false">
      <c r="A8" s="6" t="s">
        <v>30</v>
      </c>
      <c r="B8" s="8" t="s">
        <v>22</v>
      </c>
      <c r="C8" s="9" t="s">
        <v>25</v>
      </c>
      <c r="D8" s="8" t="s">
        <v>22</v>
      </c>
      <c r="E8" s="9" t="s">
        <v>25</v>
      </c>
      <c r="F8" s="8" t="s">
        <v>22</v>
      </c>
      <c r="G8" s="8" t="s">
        <v>22</v>
      </c>
      <c r="H8" s="13" t="s">
        <v>31</v>
      </c>
      <c r="I8" s="13" t="s">
        <v>31</v>
      </c>
      <c r="J8" s="13" t="s">
        <v>31</v>
      </c>
      <c r="K8" s="9" t="s">
        <v>25</v>
      </c>
      <c r="L8" s="9" t="s">
        <v>25</v>
      </c>
      <c r="M8" s="9" t="s">
        <v>25</v>
      </c>
      <c r="N8" s="8" t="s">
        <v>22</v>
      </c>
      <c r="O8" s="8" t="s">
        <v>22</v>
      </c>
      <c r="P8" s="10" t="s">
        <v>32</v>
      </c>
      <c r="Q8" s="11" t="s">
        <v>33</v>
      </c>
    </row>
    <row r="9" customFormat="false" ht="25.5" hidden="false" customHeight="true" outlineLevel="0" collapsed="false">
      <c r="A9" s="6" t="s">
        <v>32</v>
      </c>
      <c r="B9" s="8" t="s">
        <v>22</v>
      </c>
      <c r="C9" s="9" t="s">
        <v>25</v>
      </c>
      <c r="D9" s="8" t="s">
        <v>22</v>
      </c>
      <c r="E9" s="9" t="s">
        <v>25</v>
      </c>
      <c r="F9" s="8" t="s">
        <v>22</v>
      </c>
      <c r="G9" s="8" t="s">
        <v>22</v>
      </c>
      <c r="H9" s="7" t="s">
        <v>25</v>
      </c>
      <c r="I9" s="7" t="s">
        <v>25</v>
      </c>
      <c r="J9" s="7" t="s">
        <v>25</v>
      </c>
      <c r="K9" s="9" t="s">
        <v>25</v>
      </c>
      <c r="L9" s="9" t="s">
        <v>25</v>
      </c>
      <c r="M9" s="8" t="s">
        <v>22</v>
      </c>
      <c r="N9" s="8" t="s">
        <v>21</v>
      </c>
      <c r="O9" s="8" t="s">
        <v>22</v>
      </c>
      <c r="P9" s="10" t="s">
        <v>20</v>
      </c>
      <c r="Q9" s="11" t="s">
        <v>34</v>
      </c>
    </row>
    <row r="10" customFormat="false" ht="25.5" hidden="false" customHeight="true" outlineLevel="0" collapsed="false">
      <c r="A10" s="6" t="s">
        <v>35</v>
      </c>
      <c r="B10" s="8" t="s">
        <v>22</v>
      </c>
      <c r="C10" s="9" t="s">
        <v>25</v>
      </c>
      <c r="D10" s="8" t="s">
        <v>22</v>
      </c>
      <c r="E10" s="9" t="s">
        <v>25</v>
      </c>
      <c r="F10" s="8" t="s">
        <v>22</v>
      </c>
      <c r="G10" s="8" t="s">
        <v>22</v>
      </c>
      <c r="H10" s="8" t="s">
        <v>22</v>
      </c>
      <c r="I10" s="8" t="s">
        <v>22</v>
      </c>
      <c r="J10" s="9" t="s">
        <v>25</v>
      </c>
      <c r="K10" s="13" t="s">
        <v>31</v>
      </c>
      <c r="L10" s="9" t="s">
        <v>25</v>
      </c>
      <c r="M10" s="9" t="s">
        <v>25</v>
      </c>
      <c r="N10" s="8" t="s">
        <v>22</v>
      </c>
      <c r="O10" s="8" t="s">
        <v>22</v>
      </c>
      <c r="P10" s="10" t="s">
        <v>36</v>
      </c>
      <c r="Q10" s="11" t="s">
        <v>37</v>
      </c>
    </row>
    <row r="11" customFormat="false" ht="25.5" hidden="false" customHeight="true" outlineLevel="0" collapsed="false">
      <c r="A11" s="6" t="s">
        <v>36</v>
      </c>
      <c r="B11" s="8" t="s">
        <v>22</v>
      </c>
      <c r="C11" s="9" t="s">
        <v>25</v>
      </c>
      <c r="D11" s="8" t="s">
        <v>22</v>
      </c>
      <c r="E11" s="9" t="s">
        <v>25</v>
      </c>
      <c r="F11" s="8" t="s">
        <v>22</v>
      </c>
      <c r="G11" s="8" t="s">
        <v>22</v>
      </c>
      <c r="H11" s="9" t="s">
        <v>25</v>
      </c>
      <c r="I11" s="9" t="s">
        <v>25</v>
      </c>
      <c r="J11" s="9" t="s">
        <v>25</v>
      </c>
      <c r="K11" s="7" t="s">
        <v>25</v>
      </c>
      <c r="L11" s="9" t="s">
        <v>25</v>
      </c>
      <c r="M11" s="8" t="s">
        <v>21</v>
      </c>
      <c r="N11" s="8" t="s">
        <v>21</v>
      </c>
      <c r="O11" s="8" t="s">
        <v>22</v>
      </c>
      <c r="P11" s="10" t="s">
        <v>20</v>
      </c>
      <c r="Q11" s="11" t="s">
        <v>38</v>
      </c>
    </row>
    <row r="12" customFormat="false" ht="25.5" hidden="false" customHeight="true" outlineLevel="0" collapsed="false">
      <c r="A12" s="6" t="s">
        <v>39</v>
      </c>
      <c r="B12" s="8" t="s">
        <v>22</v>
      </c>
      <c r="C12" s="9" t="s">
        <v>25</v>
      </c>
      <c r="D12" s="8" t="s">
        <v>22</v>
      </c>
      <c r="E12" s="9" t="s">
        <v>25</v>
      </c>
      <c r="F12" s="8" t="s">
        <v>22</v>
      </c>
      <c r="G12" s="8" t="s">
        <v>22</v>
      </c>
      <c r="H12" s="8" t="s">
        <v>22</v>
      </c>
      <c r="I12" s="8" t="s">
        <v>22</v>
      </c>
      <c r="J12" s="9" t="s">
        <v>25</v>
      </c>
      <c r="K12" s="9" t="s">
        <v>25</v>
      </c>
      <c r="L12" s="13" t="s">
        <v>31</v>
      </c>
      <c r="M12" s="9" t="s">
        <v>25</v>
      </c>
      <c r="N12" s="8" t="s">
        <v>22</v>
      </c>
      <c r="O12" s="8" t="s">
        <v>22</v>
      </c>
      <c r="P12" s="10" t="s">
        <v>40</v>
      </c>
      <c r="Q12" s="11" t="s">
        <v>41</v>
      </c>
    </row>
    <row r="13" customFormat="false" ht="25.5" hidden="false" customHeight="true" outlineLevel="0" collapsed="false">
      <c r="A13" s="6" t="s">
        <v>40</v>
      </c>
      <c r="B13" s="8" t="s">
        <v>22</v>
      </c>
      <c r="C13" s="9" t="s">
        <v>25</v>
      </c>
      <c r="D13" s="8" t="s">
        <v>22</v>
      </c>
      <c r="E13" s="9" t="s">
        <v>25</v>
      </c>
      <c r="F13" s="8" t="s">
        <v>22</v>
      </c>
      <c r="G13" s="8" t="s">
        <v>22</v>
      </c>
      <c r="H13" s="9" t="s">
        <v>25</v>
      </c>
      <c r="I13" s="9" t="s">
        <v>25</v>
      </c>
      <c r="J13" s="9" t="s">
        <v>25</v>
      </c>
      <c r="K13" s="9" t="s">
        <v>25</v>
      </c>
      <c r="L13" s="7" t="s">
        <v>25</v>
      </c>
      <c r="M13" s="8" t="s">
        <v>23</v>
      </c>
      <c r="N13" s="8" t="s">
        <v>21</v>
      </c>
      <c r="O13" s="8" t="s">
        <v>22</v>
      </c>
      <c r="P13" s="10" t="s">
        <v>20</v>
      </c>
      <c r="Q13" s="11" t="s">
        <v>42</v>
      </c>
    </row>
    <row r="14" customFormat="false" ht="25.5" hidden="false" customHeight="true" outlineLevel="0" collapsed="false">
      <c r="A14" s="6" t="s">
        <v>43</v>
      </c>
      <c r="B14" s="8" t="s">
        <v>22</v>
      </c>
      <c r="C14" s="9" t="s">
        <v>25</v>
      </c>
      <c r="D14" s="8" t="s">
        <v>22</v>
      </c>
      <c r="E14" s="9" t="s">
        <v>25</v>
      </c>
      <c r="F14" s="8" t="s">
        <v>22</v>
      </c>
      <c r="G14" s="8" t="s">
        <v>22</v>
      </c>
      <c r="H14" s="8" t="s">
        <v>22</v>
      </c>
      <c r="I14" s="8" t="s">
        <v>21</v>
      </c>
      <c r="J14" s="8" t="s">
        <v>24</v>
      </c>
      <c r="K14" s="9" t="s">
        <v>25</v>
      </c>
      <c r="L14" s="9" t="s">
        <v>25</v>
      </c>
      <c r="M14" s="9" t="s">
        <v>25</v>
      </c>
      <c r="N14" s="8" t="s">
        <v>22</v>
      </c>
      <c r="O14" s="8" t="s">
        <v>22</v>
      </c>
      <c r="P14" s="10" t="s">
        <v>44</v>
      </c>
      <c r="Q14" s="11" t="s">
        <v>45</v>
      </c>
    </row>
    <row r="15" customFormat="false" ht="25.5" hidden="false" customHeight="true" outlineLevel="0" collapsed="false">
      <c r="A15" s="6" t="s">
        <v>46</v>
      </c>
      <c r="B15" s="8" t="s">
        <v>22</v>
      </c>
      <c r="C15" s="9" t="s">
        <v>25</v>
      </c>
      <c r="D15" s="8" t="s">
        <v>22</v>
      </c>
      <c r="E15" s="8" t="s">
        <v>21</v>
      </c>
      <c r="F15" s="8" t="s">
        <v>21</v>
      </c>
      <c r="G15" s="8" t="s">
        <v>22</v>
      </c>
      <c r="H15" s="7" t="s">
        <v>25</v>
      </c>
      <c r="I15" s="7" t="s">
        <v>25</v>
      </c>
      <c r="J15" s="7" t="s">
        <v>25</v>
      </c>
      <c r="K15" s="9" t="s">
        <v>25</v>
      </c>
      <c r="L15" s="9" t="s">
        <v>25</v>
      </c>
      <c r="M15" s="9" t="s">
        <v>25</v>
      </c>
      <c r="N15" s="8" t="s">
        <v>22</v>
      </c>
      <c r="O15" s="8" t="s">
        <v>22</v>
      </c>
      <c r="P15" s="10" t="s">
        <v>47</v>
      </c>
      <c r="Q15" s="11" t="s">
        <v>48</v>
      </c>
    </row>
    <row r="16" customFormat="false" ht="25.5" hidden="false" customHeight="true" outlineLevel="0" collapsed="false">
      <c r="A16" s="6" t="s">
        <v>47</v>
      </c>
      <c r="B16" s="8" t="s">
        <v>22</v>
      </c>
      <c r="C16" s="9" t="s">
        <v>25</v>
      </c>
      <c r="D16" s="8" t="s">
        <v>22</v>
      </c>
      <c r="E16" s="8" t="s">
        <v>21</v>
      </c>
      <c r="F16" s="8" t="s">
        <v>21</v>
      </c>
      <c r="G16" s="8" t="s">
        <v>22</v>
      </c>
      <c r="H16" s="7" t="s">
        <v>25</v>
      </c>
      <c r="I16" s="7" t="s">
        <v>25</v>
      </c>
      <c r="J16" s="7" t="s">
        <v>25</v>
      </c>
      <c r="K16" s="9" t="s">
        <v>25</v>
      </c>
      <c r="L16" s="9" t="s">
        <v>25</v>
      </c>
      <c r="M16" s="9" t="s">
        <v>25</v>
      </c>
      <c r="N16" s="8" t="s">
        <v>22</v>
      </c>
      <c r="O16" s="8" t="s">
        <v>22</v>
      </c>
      <c r="P16" s="10" t="s">
        <v>49</v>
      </c>
      <c r="Q16" s="11" t="s">
        <v>50</v>
      </c>
    </row>
    <row r="17" customFormat="false" ht="25.5" hidden="false" customHeight="true" outlineLevel="0" collapsed="false">
      <c r="A17" s="6" t="s">
        <v>49</v>
      </c>
      <c r="B17" s="8" t="s">
        <v>22</v>
      </c>
      <c r="C17" s="9" t="s">
        <v>25</v>
      </c>
      <c r="D17" s="8" t="s">
        <v>22</v>
      </c>
      <c r="E17" s="7" t="s">
        <v>25</v>
      </c>
      <c r="F17" s="7" t="s">
        <v>22</v>
      </c>
      <c r="G17" s="8" t="s">
        <v>22</v>
      </c>
      <c r="H17" s="9" t="s">
        <v>25</v>
      </c>
      <c r="I17" s="9" t="s">
        <v>25</v>
      </c>
      <c r="J17" s="9" t="s">
        <v>25</v>
      </c>
      <c r="K17" s="9" t="s">
        <v>25</v>
      </c>
      <c r="L17" s="9" t="s">
        <v>25</v>
      </c>
      <c r="M17" s="8" t="s">
        <v>51</v>
      </c>
      <c r="N17" s="8" t="s">
        <v>21</v>
      </c>
      <c r="O17" s="8" t="s">
        <v>22</v>
      </c>
      <c r="P17" s="10" t="s">
        <v>20</v>
      </c>
      <c r="Q17" s="11" t="s">
        <v>52</v>
      </c>
    </row>
    <row r="18" customFormat="false" ht="25.5" hidden="false" customHeight="true" outlineLevel="0" collapsed="false">
      <c r="A18" s="6" t="s">
        <v>53</v>
      </c>
      <c r="B18" s="8" t="s">
        <v>22</v>
      </c>
      <c r="C18" s="9" t="s">
        <v>25</v>
      </c>
      <c r="D18" s="8" t="s">
        <v>22</v>
      </c>
      <c r="E18" s="8" t="s">
        <v>21</v>
      </c>
      <c r="F18" s="8" t="s">
        <v>22</v>
      </c>
      <c r="G18" s="8" t="s">
        <v>21</v>
      </c>
      <c r="H18" s="7" t="s">
        <v>25</v>
      </c>
      <c r="I18" s="7" t="s">
        <v>25</v>
      </c>
      <c r="J18" s="7" t="s">
        <v>25</v>
      </c>
      <c r="K18" s="9" t="s">
        <v>25</v>
      </c>
      <c r="L18" s="9" t="s">
        <v>25</v>
      </c>
      <c r="M18" s="9" t="s">
        <v>25</v>
      </c>
      <c r="N18" s="8" t="s">
        <v>22</v>
      </c>
      <c r="O18" s="8" t="s">
        <v>22</v>
      </c>
      <c r="P18" s="10" t="s">
        <v>20</v>
      </c>
      <c r="Q18" s="11" t="s">
        <v>54</v>
      </c>
    </row>
    <row r="19" customFormat="false" ht="25.5" hidden="false" customHeight="true" outlineLevel="0" collapsed="false">
      <c r="A19" s="6" t="s">
        <v>55</v>
      </c>
      <c r="B19" s="14" t="s">
        <v>56</v>
      </c>
      <c r="C19" s="15" t="s">
        <v>21</v>
      </c>
      <c r="D19" s="8" t="s">
        <v>22</v>
      </c>
      <c r="E19" s="9" t="s">
        <v>25</v>
      </c>
      <c r="F19" s="8" t="s">
        <v>22</v>
      </c>
      <c r="G19" s="8" t="s">
        <v>22</v>
      </c>
      <c r="H19" s="7" t="s">
        <v>21</v>
      </c>
      <c r="I19" s="8" t="s">
        <v>21</v>
      </c>
      <c r="J19" s="8" t="s">
        <v>24</v>
      </c>
      <c r="K19" s="9" t="s">
        <v>25</v>
      </c>
      <c r="L19" s="9" t="s">
        <v>25</v>
      </c>
      <c r="M19" s="9" t="s">
        <v>25</v>
      </c>
      <c r="N19" s="8" t="s">
        <v>22</v>
      </c>
      <c r="O19" s="8" t="s">
        <v>22</v>
      </c>
      <c r="P19" s="10" t="s">
        <v>20</v>
      </c>
      <c r="Q19" s="11" t="s">
        <v>57</v>
      </c>
    </row>
    <row r="20" customFormat="false" ht="25.5" hidden="false" customHeight="true" outlineLevel="0" collapsed="false">
      <c r="A20" s="6" t="s">
        <v>58</v>
      </c>
      <c r="B20" s="8" t="s">
        <v>22</v>
      </c>
      <c r="C20" s="9" t="s">
        <v>25</v>
      </c>
      <c r="D20" s="8" t="s">
        <v>22</v>
      </c>
      <c r="E20" s="9" t="s">
        <v>25</v>
      </c>
      <c r="F20" s="8" t="s">
        <v>22</v>
      </c>
      <c r="G20" s="8" t="s">
        <v>22</v>
      </c>
      <c r="H20" s="16" t="s">
        <v>31</v>
      </c>
      <c r="I20" s="8" t="s">
        <v>21</v>
      </c>
      <c r="J20" s="8" t="s">
        <v>24</v>
      </c>
      <c r="K20" s="9" t="s">
        <v>25</v>
      </c>
      <c r="L20" s="9" t="s">
        <v>25</v>
      </c>
      <c r="M20" s="9" t="s">
        <v>25</v>
      </c>
      <c r="N20" s="8" t="s">
        <v>22</v>
      </c>
      <c r="O20" s="8" t="s">
        <v>22</v>
      </c>
      <c r="P20" s="10" t="s">
        <v>59</v>
      </c>
      <c r="Q20" s="11" t="s">
        <v>60</v>
      </c>
    </row>
    <row r="21" customFormat="false" ht="25.5" hidden="false" customHeight="true" outlineLevel="0" collapsed="false">
      <c r="A21" s="6" t="s">
        <v>59</v>
      </c>
      <c r="B21" s="8" t="s">
        <v>21</v>
      </c>
      <c r="C21" s="17" t="s">
        <v>21</v>
      </c>
      <c r="D21" s="8" t="s">
        <v>22</v>
      </c>
      <c r="E21" s="9" t="s">
        <v>25</v>
      </c>
      <c r="F21" s="8" t="s">
        <v>22</v>
      </c>
      <c r="G21" s="8" t="s">
        <v>22</v>
      </c>
      <c r="H21" s="9" t="s">
        <v>25</v>
      </c>
      <c r="I21" s="9" t="s">
        <v>25</v>
      </c>
      <c r="J21" s="9" t="s">
        <v>25</v>
      </c>
      <c r="K21" s="9" t="s">
        <v>25</v>
      </c>
      <c r="L21" s="9" t="s">
        <v>25</v>
      </c>
      <c r="M21" s="8" t="s">
        <v>61</v>
      </c>
      <c r="N21" s="8" t="s">
        <v>21</v>
      </c>
      <c r="O21" s="8" t="s">
        <v>22</v>
      </c>
      <c r="P21" s="10" t="s">
        <v>20</v>
      </c>
      <c r="Q21" s="11" t="s">
        <v>62</v>
      </c>
    </row>
    <row r="22" customFormat="false" ht="25.5" hidden="false" customHeight="true" outlineLevel="0" collapsed="false">
      <c r="A22" s="6" t="s">
        <v>63</v>
      </c>
      <c r="B22" s="15" t="s">
        <v>22</v>
      </c>
      <c r="C22" s="9" t="s">
        <v>25</v>
      </c>
      <c r="D22" s="8" t="s">
        <v>22</v>
      </c>
      <c r="E22" s="9" t="s">
        <v>25</v>
      </c>
      <c r="F22" s="8" t="s">
        <v>22</v>
      </c>
      <c r="G22" s="8" t="s">
        <v>22</v>
      </c>
      <c r="H22" s="9" t="s">
        <v>25</v>
      </c>
      <c r="I22" s="9" t="s">
        <v>25</v>
      </c>
      <c r="J22" s="9" t="s">
        <v>25</v>
      </c>
      <c r="K22" s="9" t="s">
        <v>25</v>
      </c>
      <c r="L22" s="9" t="s">
        <v>25</v>
      </c>
      <c r="M22" s="9" t="s">
        <v>25</v>
      </c>
      <c r="N22" s="8" t="s">
        <v>22</v>
      </c>
      <c r="O22" s="13" t="s">
        <v>31</v>
      </c>
      <c r="P22" s="10" t="s">
        <v>64</v>
      </c>
      <c r="Q22" s="11" t="s">
        <v>65</v>
      </c>
    </row>
    <row r="23" customFormat="false" ht="13.5" hidden="false" customHeight="true" outlineLevel="0" collapsed="false"/>
    <row r="24" customFormat="false" ht="13.5" hidden="false" customHeight="true" outlineLevel="0" collapsed="false">
      <c r="B24" s="18" t="s">
        <v>66</v>
      </c>
      <c r="C24" s="18"/>
      <c r="D24" s="18"/>
      <c r="E24" s="18"/>
    </row>
    <row r="25" customFormat="false" ht="13.5" hidden="false" customHeight="true" outlineLevel="0" collapsed="false">
      <c r="B25" s="19" t="s">
        <v>67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customFormat="false" ht="13.5" hidden="false" customHeight="true" outlineLevel="0" collapsed="false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customFormat="false" ht="13.5" hidden="false" customHeight="true" outlineLevel="0" collapsed="false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5">
    <mergeCell ref="B1:P1"/>
    <mergeCell ref="B2:P2"/>
    <mergeCell ref="B3:P3"/>
    <mergeCell ref="B24:E24"/>
    <mergeCell ref="B25:L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40"/>
    <col collapsed="false" customWidth="true" hidden="false" outlineLevel="0" max="5" min="5" style="0" width="72"/>
    <col collapsed="false" customWidth="true" hidden="false" outlineLevel="0" max="6" min="6" style="0" width="66"/>
  </cols>
  <sheetData>
    <row r="1" customFormat="false" ht="15" hidden="false" customHeight="false" outlineLevel="0" collapsed="false">
      <c r="A1" s="20" t="s">
        <v>68</v>
      </c>
    </row>
    <row r="2" customFormat="false" ht="15" hidden="false" customHeight="false" outlineLevel="0" collapsed="false">
      <c r="A2" s="21" t="s">
        <v>69</v>
      </c>
    </row>
    <row r="4" customFormat="false" ht="15" hidden="false" customHeight="false" outlineLevel="0" collapsed="false">
      <c r="A4" s="22" t="s">
        <v>70</v>
      </c>
      <c r="B4" s="22" t="s">
        <v>71</v>
      </c>
      <c r="C4" s="22" t="s">
        <v>72</v>
      </c>
      <c r="D4" s="22" t="s">
        <v>73</v>
      </c>
      <c r="E4" s="22" t="s">
        <v>74</v>
      </c>
      <c r="F4" s="22" t="s">
        <v>75</v>
      </c>
    </row>
    <row r="5" customFormat="false" ht="72" hidden="false" customHeight="true" outlineLevel="0" collapsed="false">
      <c r="A5" s="23" t="n">
        <v>1</v>
      </c>
      <c r="B5" s="24" t="s">
        <v>76</v>
      </c>
      <c r="C5" s="24" t="s">
        <v>77</v>
      </c>
      <c r="D5" s="25" t="s">
        <v>78</v>
      </c>
      <c r="E5" s="23" t="s">
        <v>79</v>
      </c>
      <c r="F5" s="23" t="s">
        <v>80</v>
      </c>
    </row>
    <row r="6" customFormat="false" ht="72" hidden="false" customHeight="true" outlineLevel="0" collapsed="false">
      <c r="A6" s="23" t="n">
        <v>2</v>
      </c>
      <c r="B6" s="24" t="s">
        <v>76</v>
      </c>
      <c r="C6" s="26" t="s">
        <v>81</v>
      </c>
      <c r="D6" s="25" t="s">
        <v>82</v>
      </c>
      <c r="E6" s="23" t="s">
        <v>83</v>
      </c>
      <c r="F6" s="23" t="s">
        <v>84</v>
      </c>
    </row>
    <row r="7" customFormat="false" ht="72" hidden="false" customHeight="true" outlineLevel="0" collapsed="false">
      <c r="A7" s="23" t="n">
        <v>3</v>
      </c>
      <c r="B7" s="24" t="s">
        <v>76</v>
      </c>
      <c r="C7" s="26" t="s">
        <v>81</v>
      </c>
      <c r="D7" s="25" t="s">
        <v>85</v>
      </c>
      <c r="E7" s="23" t="s">
        <v>86</v>
      </c>
      <c r="F7" s="23" t="s">
        <v>87</v>
      </c>
    </row>
    <row r="8" customFormat="false" ht="72" hidden="false" customHeight="true" outlineLevel="0" collapsed="false">
      <c r="A8" s="23" t="n">
        <v>4</v>
      </c>
      <c r="B8" s="24" t="s">
        <v>76</v>
      </c>
      <c r="C8" s="26" t="s">
        <v>81</v>
      </c>
      <c r="D8" s="25" t="s">
        <v>88</v>
      </c>
      <c r="E8" s="23" t="s">
        <v>89</v>
      </c>
      <c r="F8" s="23" t="s">
        <v>90</v>
      </c>
    </row>
    <row r="9" customFormat="false" ht="72" hidden="false" customHeight="true" outlineLevel="0" collapsed="false">
      <c r="A9" s="23" t="n">
        <v>5</v>
      </c>
      <c r="B9" s="26" t="s">
        <v>91</v>
      </c>
      <c r="C9" s="24" t="s">
        <v>77</v>
      </c>
      <c r="D9" s="25" t="s">
        <v>92</v>
      </c>
      <c r="E9" s="23" t="s">
        <v>93</v>
      </c>
      <c r="F9" s="23" t="s">
        <v>94</v>
      </c>
    </row>
    <row r="10" customFormat="false" ht="72" hidden="false" customHeight="true" outlineLevel="0" collapsed="false">
      <c r="A10" s="23" t="n">
        <v>6</v>
      </c>
      <c r="B10" s="26" t="s">
        <v>91</v>
      </c>
      <c r="C10" s="24" t="s">
        <v>77</v>
      </c>
      <c r="D10" s="25" t="s">
        <v>95</v>
      </c>
      <c r="E10" s="23" t="s">
        <v>96</v>
      </c>
      <c r="F10" s="23" t="s">
        <v>97</v>
      </c>
    </row>
    <row r="11" customFormat="false" ht="72" hidden="false" customHeight="true" outlineLevel="0" collapsed="false">
      <c r="A11" s="23" t="n">
        <v>7</v>
      </c>
      <c r="B11" s="26" t="s">
        <v>91</v>
      </c>
      <c r="C11" s="24" t="s">
        <v>77</v>
      </c>
      <c r="D11" s="25" t="s">
        <v>98</v>
      </c>
      <c r="E11" s="23" t="s">
        <v>99</v>
      </c>
      <c r="F11" s="23" t="s">
        <v>100</v>
      </c>
    </row>
    <row r="12" customFormat="false" ht="72" hidden="false" customHeight="true" outlineLevel="0" collapsed="false">
      <c r="A12" s="23" t="n">
        <v>8</v>
      </c>
      <c r="B12" s="26" t="s">
        <v>91</v>
      </c>
      <c r="C12" s="24" t="s">
        <v>77</v>
      </c>
      <c r="D12" s="25" t="s">
        <v>101</v>
      </c>
      <c r="E12" s="23" t="s">
        <v>102</v>
      </c>
      <c r="F12" s="23" t="s">
        <v>103</v>
      </c>
    </row>
    <row r="13" customFormat="false" ht="72" hidden="false" customHeight="true" outlineLevel="0" collapsed="false">
      <c r="A13" s="23" t="n">
        <v>9</v>
      </c>
      <c r="B13" s="27" t="s">
        <v>104</v>
      </c>
      <c r="C13" s="24" t="s">
        <v>77</v>
      </c>
      <c r="D13" s="25" t="s">
        <v>105</v>
      </c>
      <c r="E13" s="23" t="s">
        <v>106</v>
      </c>
      <c r="F13" s="23" t="s">
        <v>107</v>
      </c>
    </row>
    <row r="14" customFormat="false" ht="72" hidden="false" customHeight="true" outlineLevel="0" collapsed="false">
      <c r="A14" s="23" t="n">
        <v>10</v>
      </c>
      <c r="B14" s="27" t="s">
        <v>104</v>
      </c>
      <c r="C14" s="28" t="s">
        <v>108</v>
      </c>
      <c r="D14" s="25" t="s">
        <v>109</v>
      </c>
      <c r="E14" s="23" t="s">
        <v>110</v>
      </c>
      <c r="F14" s="23" t="s">
        <v>111</v>
      </c>
    </row>
    <row r="15" customFormat="false" ht="72" hidden="false" customHeight="true" outlineLevel="0" collapsed="false">
      <c r="A15" s="23" t="n">
        <v>11</v>
      </c>
      <c r="B15" s="27" t="s">
        <v>104</v>
      </c>
      <c r="C15" s="28" t="s">
        <v>108</v>
      </c>
      <c r="D15" s="25" t="s">
        <v>112</v>
      </c>
      <c r="E15" s="23" t="s">
        <v>113</v>
      </c>
      <c r="F15" s="23" t="s">
        <v>114</v>
      </c>
    </row>
    <row r="16" customFormat="false" ht="72" hidden="false" customHeight="true" outlineLevel="0" collapsed="false">
      <c r="A16" s="23" t="n">
        <v>12</v>
      </c>
      <c r="B16" s="27" t="s">
        <v>104</v>
      </c>
      <c r="C16" s="29" t="s">
        <v>115</v>
      </c>
      <c r="D16" s="25" t="s">
        <v>116</v>
      </c>
      <c r="E16" s="23" t="s">
        <v>117</v>
      </c>
      <c r="F16" s="23" t="s">
        <v>118</v>
      </c>
    </row>
    <row r="17" customFormat="false" ht="72" hidden="false" customHeight="true" outlineLevel="0" collapsed="false">
      <c r="A17" s="23" t="n">
        <v>13</v>
      </c>
      <c r="B17" s="27" t="s">
        <v>104</v>
      </c>
      <c r="C17" s="29" t="s">
        <v>115</v>
      </c>
      <c r="D17" s="25" t="s">
        <v>119</v>
      </c>
      <c r="E17" s="23" t="s">
        <v>120</v>
      </c>
      <c r="F17" s="23" t="s">
        <v>121</v>
      </c>
    </row>
    <row r="18" customFormat="false" ht="72" hidden="false" customHeight="true" outlineLevel="0" collapsed="false">
      <c r="A18" s="23" t="n">
        <v>14</v>
      </c>
      <c r="B18" s="29" t="s">
        <v>115</v>
      </c>
      <c r="C18" s="29" t="s">
        <v>115</v>
      </c>
      <c r="D18" s="25" t="s">
        <v>122</v>
      </c>
      <c r="E18" s="23" t="s">
        <v>123</v>
      </c>
      <c r="F18" s="23" t="s">
        <v>124</v>
      </c>
    </row>
    <row r="19" customFormat="false" ht="72" hidden="false" customHeight="true" outlineLevel="0" collapsed="false">
      <c r="A19" s="23" t="n">
        <v>15</v>
      </c>
      <c r="B19" s="29" t="s">
        <v>115</v>
      </c>
      <c r="C19" s="29" t="s">
        <v>115</v>
      </c>
      <c r="D19" s="25" t="s">
        <v>125</v>
      </c>
      <c r="E19" s="23" t="s">
        <v>126</v>
      </c>
      <c r="F19" s="23" t="s">
        <v>127</v>
      </c>
    </row>
    <row r="20" customFormat="false" ht="72" hidden="false" customHeight="true" outlineLevel="0" collapsed="false">
      <c r="A20" s="23" t="n">
        <v>16</v>
      </c>
      <c r="B20" s="29" t="s">
        <v>115</v>
      </c>
      <c r="C20" s="29" t="s">
        <v>115</v>
      </c>
      <c r="D20" s="25" t="s">
        <v>128</v>
      </c>
      <c r="E20" s="23" t="s">
        <v>129</v>
      </c>
      <c r="F20" s="23" t="s">
        <v>130</v>
      </c>
    </row>
    <row r="21" customFormat="false" ht="72" hidden="false" customHeight="true" outlineLevel="0" collapsed="false">
      <c r="A21" s="23" t="n">
        <v>17</v>
      </c>
      <c r="B21" s="29" t="s">
        <v>115</v>
      </c>
      <c r="C21" s="29" t="s">
        <v>115</v>
      </c>
      <c r="D21" s="25" t="s">
        <v>131</v>
      </c>
      <c r="E21" s="23" t="s">
        <v>132</v>
      </c>
      <c r="F21" s="23" t="s">
        <v>133</v>
      </c>
    </row>
    <row r="24" customFormat="false" ht="15" hidden="false" customHeight="false" outlineLevel="0" collapsed="false">
      <c r="A24" s="30" t="s">
        <v>134</v>
      </c>
    </row>
    <row r="25" customFormat="false" ht="75.75" hidden="false" customHeight="true" outlineLevel="0" collapsed="false">
      <c r="B25" s="31" t="s">
        <v>135</v>
      </c>
      <c r="D25" s="32" t="s">
        <v>136</v>
      </c>
      <c r="E25" s="32"/>
      <c r="F25" s="32"/>
    </row>
    <row r="26" customFormat="false" ht="75.75" hidden="false" customHeight="true" outlineLevel="0" collapsed="false">
      <c r="B26" s="31" t="s">
        <v>137</v>
      </c>
      <c r="D26" s="32" t="s">
        <v>138</v>
      </c>
      <c r="E26" s="32"/>
      <c r="F26" s="32"/>
    </row>
    <row r="27" customFormat="false" ht="75.75" hidden="false" customHeight="true" outlineLevel="0" collapsed="false">
      <c r="B27" s="31" t="s">
        <v>139</v>
      </c>
      <c r="D27" s="32" t="s">
        <v>140</v>
      </c>
      <c r="E27" s="32"/>
      <c r="F27" s="32"/>
    </row>
    <row r="29" customFormat="false" ht="15" hidden="false" customHeight="false" outlineLevel="0" collapsed="false">
      <c r="A29" s="30" t="s">
        <v>141</v>
      </c>
    </row>
    <row r="30" customFormat="false" ht="61.5" hidden="false" customHeight="true" outlineLevel="0" collapsed="false">
      <c r="B30" s="33" t="s">
        <v>142</v>
      </c>
      <c r="C30" s="34"/>
      <c r="D30" s="32" t="s">
        <v>143</v>
      </c>
      <c r="E30" s="32"/>
      <c r="F30" s="32"/>
    </row>
    <row r="31" customFormat="false" ht="61.5" hidden="false" customHeight="true" outlineLevel="0" collapsed="false">
      <c r="B31" s="33" t="s">
        <v>144</v>
      </c>
      <c r="C31" s="34"/>
      <c r="D31" s="32" t="s">
        <v>145</v>
      </c>
      <c r="E31" s="32"/>
      <c r="F31" s="32"/>
    </row>
  </sheetData>
  <mergeCells count="5">
    <mergeCell ref="D25:F25"/>
    <mergeCell ref="D26:F26"/>
    <mergeCell ref="D27:F27"/>
    <mergeCell ref="D30:F30"/>
    <mergeCell ref="D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15" min="2" style="1" width="8.5"/>
    <col collapsed="false" customWidth="true" hidden="false" outlineLevel="0" max="16" min="16" style="1" width="30"/>
    <col collapsed="false" customWidth="true" hidden="false" outlineLevel="0" max="17" min="17" style="1" width="72"/>
  </cols>
  <sheetData>
    <row r="1" customFormat="false" ht="15" hidden="false" customHeight="true" outlineLevel="0" collapsed="false">
      <c r="A1" s="35" t="s">
        <v>146</v>
      </c>
    </row>
    <row r="2" customFormat="false" ht="15" hidden="false" customHeight="true" outlineLevel="0" collapsed="false">
      <c r="A2" s="36" t="s">
        <v>147</v>
      </c>
    </row>
    <row r="4" customFormat="false" ht="33.75" hidden="false" customHeight="true" outlineLevel="0" collapsed="false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2" t="s">
        <v>8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13</v>
      </c>
      <c r="L4" s="22" t="s">
        <v>14</v>
      </c>
      <c r="M4" s="22" t="s">
        <v>15</v>
      </c>
      <c r="N4" s="22" t="s">
        <v>16</v>
      </c>
      <c r="O4" s="22" t="s">
        <v>17</v>
      </c>
      <c r="P4" s="22" t="s">
        <v>148</v>
      </c>
      <c r="Q4" s="22" t="s">
        <v>149</v>
      </c>
    </row>
    <row r="5" customFormat="false" ht="30" hidden="false" customHeight="true" outlineLevel="0" collapsed="false">
      <c r="A5" s="37" t="s">
        <v>150</v>
      </c>
      <c r="B5" s="38" t="s">
        <v>21</v>
      </c>
      <c r="C5" s="38" t="s">
        <v>22</v>
      </c>
      <c r="D5" s="38" t="s">
        <v>22</v>
      </c>
      <c r="E5" s="38" t="s">
        <v>25</v>
      </c>
      <c r="F5" s="38" t="s">
        <v>22</v>
      </c>
      <c r="G5" s="38" t="s">
        <v>22</v>
      </c>
      <c r="H5" s="38" t="s">
        <v>25</v>
      </c>
      <c r="I5" s="38" t="s">
        <v>25</v>
      </c>
      <c r="J5" s="38" t="s">
        <v>25</v>
      </c>
      <c r="K5" s="38" t="s">
        <v>25</v>
      </c>
      <c r="L5" s="38" t="s">
        <v>25</v>
      </c>
      <c r="M5" s="38" t="s">
        <v>25</v>
      </c>
      <c r="N5" s="38" t="s">
        <v>22</v>
      </c>
      <c r="O5" s="38" t="s">
        <v>22</v>
      </c>
      <c r="P5" s="39" t="s">
        <v>20</v>
      </c>
      <c r="Q5" s="39" t="s">
        <v>151</v>
      </c>
    </row>
    <row r="6" customFormat="false" ht="30" hidden="false" customHeight="true" outlineLevel="0" collapsed="false">
      <c r="A6" s="40" t="s">
        <v>20</v>
      </c>
      <c r="B6" s="38" t="s">
        <v>22</v>
      </c>
      <c r="C6" s="38" t="s">
        <v>25</v>
      </c>
      <c r="D6" s="38" t="s">
        <v>21</v>
      </c>
      <c r="E6" s="38" t="s">
        <v>22</v>
      </c>
      <c r="F6" s="38" t="s">
        <v>21</v>
      </c>
      <c r="G6" s="38" t="s">
        <v>22</v>
      </c>
      <c r="H6" s="38" t="s">
        <v>25</v>
      </c>
      <c r="I6" s="38" t="s">
        <v>25</v>
      </c>
      <c r="J6" s="38" t="s">
        <v>25</v>
      </c>
      <c r="K6" s="38" t="s">
        <v>25</v>
      </c>
      <c r="L6" s="38" t="s">
        <v>25</v>
      </c>
      <c r="M6" s="38" t="s">
        <v>25</v>
      </c>
      <c r="N6" s="38" t="s">
        <v>22</v>
      </c>
      <c r="O6" s="38" t="s">
        <v>22</v>
      </c>
      <c r="P6" s="39" t="s">
        <v>26</v>
      </c>
      <c r="Q6" s="39" t="s">
        <v>152</v>
      </c>
    </row>
    <row r="7" customFormat="false" ht="30" hidden="false" customHeight="true" outlineLevel="0" collapsed="false">
      <c r="A7" s="40" t="s">
        <v>26</v>
      </c>
      <c r="B7" s="38" t="s">
        <v>22</v>
      </c>
      <c r="C7" s="38" t="s">
        <v>25</v>
      </c>
      <c r="D7" s="38" t="s">
        <v>22</v>
      </c>
      <c r="E7" s="38" t="s">
        <v>25</v>
      </c>
      <c r="F7" s="38" t="s">
        <v>22</v>
      </c>
      <c r="G7" s="38" t="s">
        <v>22</v>
      </c>
      <c r="H7" s="38" t="s">
        <v>25</v>
      </c>
      <c r="I7" s="38" t="s">
        <v>25</v>
      </c>
      <c r="J7" s="38" t="s">
        <v>25</v>
      </c>
      <c r="K7" s="38" t="s">
        <v>25</v>
      </c>
      <c r="L7" s="38" t="s">
        <v>25</v>
      </c>
      <c r="M7" s="38" t="s">
        <v>25</v>
      </c>
      <c r="N7" s="38" t="s">
        <v>22</v>
      </c>
      <c r="O7" s="38" t="s">
        <v>22</v>
      </c>
      <c r="P7" s="39" t="s">
        <v>153</v>
      </c>
      <c r="Q7" s="39" t="s">
        <v>154</v>
      </c>
    </row>
    <row r="8" customFormat="false" ht="30" hidden="false" customHeight="true" outlineLevel="0" collapsed="false">
      <c r="A8" s="41" t="s">
        <v>30</v>
      </c>
      <c r="B8" s="38" t="s">
        <v>22</v>
      </c>
      <c r="C8" s="38" t="s">
        <v>25</v>
      </c>
      <c r="D8" s="38" t="s">
        <v>22</v>
      </c>
      <c r="E8" s="38" t="s">
        <v>25</v>
      </c>
      <c r="F8" s="38" t="s">
        <v>22</v>
      </c>
      <c r="G8" s="38" t="s">
        <v>22</v>
      </c>
      <c r="H8" s="38" t="s">
        <v>31</v>
      </c>
      <c r="I8" s="38" t="s">
        <v>31</v>
      </c>
      <c r="J8" s="38" t="s">
        <v>31</v>
      </c>
      <c r="K8" s="38" t="s">
        <v>25</v>
      </c>
      <c r="L8" s="38" t="s">
        <v>25</v>
      </c>
      <c r="M8" s="38" t="s">
        <v>25</v>
      </c>
      <c r="N8" s="38" t="s">
        <v>22</v>
      </c>
      <c r="O8" s="38" t="s">
        <v>22</v>
      </c>
      <c r="P8" s="39" t="s">
        <v>32</v>
      </c>
      <c r="Q8" s="39" t="s">
        <v>155</v>
      </c>
    </row>
    <row r="9" customFormat="false" ht="30" hidden="false" customHeight="true" outlineLevel="0" collapsed="false">
      <c r="A9" s="40" t="s">
        <v>32</v>
      </c>
      <c r="B9" s="38" t="s">
        <v>21</v>
      </c>
      <c r="C9" s="38" t="s">
        <v>22</v>
      </c>
      <c r="D9" s="38" t="s">
        <v>22</v>
      </c>
      <c r="E9" s="38" t="s">
        <v>25</v>
      </c>
      <c r="F9" s="38" t="s">
        <v>22</v>
      </c>
      <c r="G9" s="38" t="s">
        <v>22</v>
      </c>
      <c r="H9" s="38" t="s">
        <v>31</v>
      </c>
      <c r="I9" s="38" t="s">
        <v>31</v>
      </c>
      <c r="J9" s="38" t="s">
        <v>31</v>
      </c>
      <c r="K9" s="38" t="s">
        <v>25</v>
      </c>
      <c r="L9" s="38" t="s">
        <v>25</v>
      </c>
      <c r="M9" s="38" t="s">
        <v>22</v>
      </c>
      <c r="N9" s="38" t="s">
        <v>21</v>
      </c>
      <c r="O9" s="38" t="s">
        <v>22</v>
      </c>
      <c r="P9" s="39" t="s">
        <v>20</v>
      </c>
      <c r="Q9" s="39" t="s">
        <v>156</v>
      </c>
    </row>
    <row r="10" customFormat="false" ht="30" hidden="false" customHeight="true" outlineLevel="0" collapsed="false">
      <c r="A10" s="40" t="s">
        <v>35</v>
      </c>
      <c r="B10" s="38" t="s">
        <v>22</v>
      </c>
      <c r="C10" s="38" t="s">
        <v>25</v>
      </c>
      <c r="D10" s="38" t="s">
        <v>22</v>
      </c>
      <c r="E10" s="38" t="s">
        <v>25</v>
      </c>
      <c r="F10" s="38" t="s">
        <v>22</v>
      </c>
      <c r="G10" s="38" t="s">
        <v>22</v>
      </c>
      <c r="H10" s="38" t="s">
        <v>25</v>
      </c>
      <c r="I10" s="38" t="s">
        <v>25</v>
      </c>
      <c r="J10" s="38" t="s">
        <v>25</v>
      </c>
      <c r="K10" s="38" t="s">
        <v>31</v>
      </c>
      <c r="L10" s="38" t="s">
        <v>25</v>
      </c>
      <c r="M10" s="38" t="s">
        <v>25</v>
      </c>
      <c r="N10" s="38" t="s">
        <v>22</v>
      </c>
      <c r="O10" s="38" t="s">
        <v>22</v>
      </c>
      <c r="P10" s="39" t="s">
        <v>36</v>
      </c>
      <c r="Q10" s="39" t="s">
        <v>157</v>
      </c>
    </row>
    <row r="11" customFormat="false" ht="30" hidden="false" customHeight="true" outlineLevel="0" collapsed="false">
      <c r="A11" s="40" t="s">
        <v>36</v>
      </c>
      <c r="B11" s="38" t="s">
        <v>21</v>
      </c>
      <c r="C11" s="38" t="s">
        <v>22</v>
      </c>
      <c r="D11" s="38" t="s">
        <v>22</v>
      </c>
      <c r="E11" s="38" t="s">
        <v>25</v>
      </c>
      <c r="F11" s="38" t="s">
        <v>22</v>
      </c>
      <c r="G11" s="38" t="s">
        <v>22</v>
      </c>
      <c r="H11" s="38" t="s">
        <v>25</v>
      </c>
      <c r="I11" s="38" t="s">
        <v>25</v>
      </c>
      <c r="J11" s="38" t="s">
        <v>25</v>
      </c>
      <c r="K11" s="38" t="s">
        <v>31</v>
      </c>
      <c r="L11" s="38" t="s">
        <v>25</v>
      </c>
      <c r="M11" s="38" t="s">
        <v>21</v>
      </c>
      <c r="N11" s="38" t="s">
        <v>21</v>
      </c>
      <c r="O11" s="38" t="s">
        <v>22</v>
      </c>
      <c r="P11" s="39" t="s">
        <v>20</v>
      </c>
      <c r="Q11" s="39" t="s">
        <v>158</v>
      </c>
    </row>
    <row r="12" customFormat="false" ht="30" hidden="false" customHeight="true" outlineLevel="0" collapsed="false">
      <c r="A12" s="40" t="s">
        <v>39</v>
      </c>
      <c r="B12" s="38" t="s">
        <v>22</v>
      </c>
      <c r="C12" s="38" t="s">
        <v>25</v>
      </c>
      <c r="D12" s="38" t="s">
        <v>22</v>
      </c>
      <c r="E12" s="38" t="s">
        <v>25</v>
      </c>
      <c r="F12" s="38" t="s">
        <v>22</v>
      </c>
      <c r="G12" s="38" t="s">
        <v>22</v>
      </c>
      <c r="H12" s="38" t="s">
        <v>25</v>
      </c>
      <c r="I12" s="38" t="s">
        <v>25</v>
      </c>
      <c r="J12" s="38" t="s">
        <v>25</v>
      </c>
      <c r="K12" s="38" t="s">
        <v>25</v>
      </c>
      <c r="L12" s="38" t="s">
        <v>31</v>
      </c>
      <c r="M12" s="38" t="s">
        <v>25</v>
      </c>
      <c r="N12" s="38" t="s">
        <v>22</v>
      </c>
      <c r="O12" s="38" t="s">
        <v>22</v>
      </c>
      <c r="P12" s="39" t="s">
        <v>40</v>
      </c>
      <c r="Q12" s="39" t="s">
        <v>159</v>
      </c>
    </row>
    <row r="13" customFormat="false" ht="30" hidden="false" customHeight="true" outlineLevel="0" collapsed="false">
      <c r="A13" s="40" t="s">
        <v>40</v>
      </c>
      <c r="B13" s="38" t="s">
        <v>21</v>
      </c>
      <c r="C13" s="38" t="s">
        <v>22</v>
      </c>
      <c r="D13" s="38" t="s">
        <v>22</v>
      </c>
      <c r="E13" s="38" t="s">
        <v>25</v>
      </c>
      <c r="F13" s="38" t="s">
        <v>22</v>
      </c>
      <c r="G13" s="38" t="s">
        <v>22</v>
      </c>
      <c r="H13" s="38" t="s">
        <v>25</v>
      </c>
      <c r="I13" s="38" t="s">
        <v>25</v>
      </c>
      <c r="J13" s="38" t="s">
        <v>25</v>
      </c>
      <c r="K13" s="38" t="s">
        <v>25</v>
      </c>
      <c r="L13" s="38" t="s">
        <v>31</v>
      </c>
      <c r="M13" s="38" t="s">
        <v>23</v>
      </c>
      <c r="N13" s="38" t="s">
        <v>21</v>
      </c>
      <c r="O13" s="38" t="s">
        <v>22</v>
      </c>
      <c r="P13" s="39" t="s">
        <v>20</v>
      </c>
      <c r="Q13" s="39" t="s">
        <v>160</v>
      </c>
    </row>
    <row r="14" customFormat="false" ht="30" hidden="false" customHeight="true" outlineLevel="0" collapsed="false">
      <c r="A14" s="41" t="s">
        <v>43</v>
      </c>
      <c r="B14" s="38" t="s">
        <v>22</v>
      </c>
      <c r="C14" s="38" t="s">
        <v>25</v>
      </c>
      <c r="D14" s="38" t="s">
        <v>22</v>
      </c>
      <c r="E14" s="38" t="s">
        <v>25</v>
      </c>
      <c r="F14" s="38" t="s">
        <v>22</v>
      </c>
      <c r="G14" s="38" t="s">
        <v>22</v>
      </c>
      <c r="H14" s="38" t="s">
        <v>22</v>
      </c>
      <c r="I14" s="38" t="s">
        <v>21</v>
      </c>
      <c r="J14" s="38" t="s">
        <v>24</v>
      </c>
      <c r="K14" s="38" t="s">
        <v>25</v>
      </c>
      <c r="L14" s="38" t="s">
        <v>25</v>
      </c>
      <c r="M14" s="38" t="s">
        <v>25</v>
      </c>
      <c r="N14" s="38" t="s">
        <v>22</v>
      </c>
      <c r="O14" s="38" t="s">
        <v>22</v>
      </c>
      <c r="P14" s="39" t="s">
        <v>44</v>
      </c>
      <c r="Q14" s="39" t="s">
        <v>161</v>
      </c>
    </row>
    <row r="15" customFormat="false" ht="30" hidden="false" customHeight="true" outlineLevel="0" collapsed="false">
      <c r="A15" s="40" t="s">
        <v>46</v>
      </c>
      <c r="B15" s="38" t="s">
        <v>22</v>
      </c>
      <c r="C15" s="38" t="s">
        <v>25</v>
      </c>
      <c r="D15" s="38" t="s">
        <v>22</v>
      </c>
      <c r="E15" s="38" t="s">
        <v>21</v>
      </c>
      <c r="F15" s="38" t="s">
        <v>21</v>
      </c>
      <c r="G15" s="38" t="s">
        <v>22</v>
      </c>
      <c r="H15" s="38" t="s">
        <v>22</v>
      </c>
      <c r="I15" s="38" t="s">
        <v>21</v>
      </c>
      <c r="J15" s="38" t="s">
        <v>24</v>
      </c>
      <c r="K15" s="38" t="s">
        <v>25</v>
      </c>
      <c r="L15" s="38" t="s">
        <v>25</v>
      </c>
      <c r="M15" s="38" t="s">
        <v>25</v>
      </c>
      <c r="N15" s="38" t="s">
        <v>22</v>
      </c>
      <c r="O15" s="38" t="s">
        <v>22</v>
      </c>
      <c r="P15" s="39" t="s">
        <v>47</v>
      </c>
      <c r="Q15" s="39" t="s">
        <v>162</v>
      </c>
    </row>
    <row r="16" customFormat="false" ht="30" hidden="false" customHeight="true" outlineLevel="0" collapsed="false">
      <c r="A16" s="40" t="s">
        <v>47</v>
      </c>
      <c r="B16" s="38" t="s">
        <v>22</v>
      </c>
      <c r="C16" s="38" t="s">
        <v>25</v>
      </c>
      <c r="D16" s="38" t="s">
        <v>22</v>
      </c>
      <c r="E16" s="38" t="s">
        <v>21</v>
      </c>
      <c r="F16" s="38" t="s">
        <v>21</v>
      </c>
      <c r="G16" s="38" t="s">
        <v>22</v>
      </c>
      <c r="H16" s="38" t="s">
        <v>22</v>
      </c>
      <c r="I16" s="38" t="s">
        <v>21</v>
      </c>
      <c r="J16" s="38" t="s">
        <v>24</v>
      </c>
      <c r="K16" s="38" t="s">
        <v>25</v>
      </c>
      <c r="L16" s="38" t="s">
        <v>25</v>
      </c>
      <c r="M16" s="38" t="s">
        <v>25</v>
      </c>
      <c r="N16" s="38" t="s">
        <v>22</v>
      </c>
      <c r="O16" s="38" t="s">
        <v>22</v>
      </c>
      <c r="P16" s="39" t="s">
        <v>49</v>
      </c>
      <c r="Q16" s="39" t="s">
        <v>163</v>
      </c>
    </row>
    <row r="17" customFormat="false" ht="30" hidden="false" customHeight="true" outlineLevel="0" collapsed="false">
      <c r="A17" s="40" t="s">
        <v>49</v>
      </c>
      <c r="B17" s="38" t="s">
        <v>21</v>
      </c>
      <c r="C17" s="38" t="s">
        <v>22</v>
      </c>
      <c r="D17" s="38" t="s">
        <v>22</v>
      </c>
      <c r="E17" s="38" t="s">
        <v>21</v>
      </c>
      <c r="F17" s="38" t="s">
        <v>21</v>
      </c>
      <c r="G17" s="38" t="s">
        <v>22</v>
      </c>
      <c r="H17" s="38" t="s">
        <v>22</v>
      </c>
      <c r="I17" s="38" t="s">
        <v>21</v>
      </c>
      <c r="J17" s="38" t="s">
        <v>24</v>
      </c>
      <c r="K17" s="38" t="s">
        <v>25</v>
      </c>
      <c r="L17" s="38" t="s">
        <v>25</v>
      </c>
      <c r="M17" s="38" t="s">
        <v>51</v>
      </c>
      <c r="N17" s="38" t="s">
        <v>21</v>
      </c>
      <c r="O17" s="38" t="s">
        <v>22</v>
      </c>
      <c r="P17" s="39" t="s">
        <v>20</v>
      </c>
      <c r="Q17" s="39" t="s">
        <v>164</v>
      </c>
    </row>
    <row r="18" customFormat="false" ht="30" hidden="false" customHeight="true" outlineLevel="0" collapsed="false">
      <c r="A18" s="40" t="s">
        <v>53</v>
      </c>
      <c r="B18" s="38" t="s">
        <v>21</v>
      </c>
      <c r="C18" s="38" t="s">
        <v>22</v>
      </c>
      <c r="D18" s="38" t="s">
        <v>22</v>
      </c>
      <c r="E18" s="38" t="s">
        <v>21</v>
      </c>
      <c r="F18" s="38" t="s">
        <v>22</v>
      </c>
      <c r="G18" s="38" t="s">
        <v>21</v>
      </c>
      <c r="H18" s="38" t="s">
        <v>22</v>
      </c>
      <c r="I18" s="38" t="s">
        <v>21</v>
      </c>
      <c r="J18" s="38" t="s">
        <v>24</v>
      </c>
      <c r="K18" s="38" t="s">
        <v>25</v>
      </c>
      <c r="L18" s="38" t="s">
        <v>25</v>
      </c>
      <c r="M18" s="38" t="s">
        <v>25</v>
      </c>
      <c r="N18" s="38" t="s">
        <v>22</v>
      </c>
      <c r="O18" s="38" t="s">
        <v>22</v>
      </c>
      <c r="P18" s="39" t="s">
        <v>20</v>
      </c>
      <c r="Q18" s="39" t="s">
        <v>165</v>
      </c>
    </row>
    <row r="19" customFormat="false" ht="30" hidden="false" customHeight="true" outlineLevel="0" collapsed="false">
      <c r="A19" s="40" t="s">
        <v>55</v>
      </c>
      <c r="B19" s="38" t="s">
        <v>21</v>
      </c>
      <c r="C19" s="38" t="s">
        <v>56</v>
      </c>
      <c r="D19" s="38" t="s">
        <v>22</v>
      </c>
      <c r="E19" s="38" t="s">
        <v>25</v>
      </c>
      <c r="F19" s="38" t="s">
        <v>22</v>
      </c>
      <c r="G19" s="38" t="s">
        <v>22</v>
      </c>
      <c r="H19" s="38" t="s">
        <v>21</v>
      </c>
      <c r="I19" s="38" t="s">
        <v>21</v>
      </c>
      <c r="J19" s="38" t="s">
        <v>24</v>
      </c>
      <c r="K19" s="38" t="s">
        <v>25</v>
      </c>
      <c r="L19" s="38" t="s">
        <v>25</v>
      </c>
      <c r="M19" s="38" t="s">
        <v>25</v>
      </c>
      <c r="N19" s="38" t="s">
        <v>22</v>
      </c>
      <c r="O19" s="38" t="s">
        <v>22</v>
      </c>
      <c r="P19" s="39" t="s">
        <v>20</v>
      </c>
      <c r="Q19" s="39" t="s">
        <v>166</v>
      </c>
    </row>
    <row r="20" customFormat="false" ht="30" hidden="false" customHeight="true" outlineLevel="0" collapsed="false">
      <c r="A20" s="41" t="s">
        <v>58</v>
      </c>
      <c r="B20" s="38" t="s">
        <v>22</v>
      </c>
      <c r="C20" s="38" t="s">
        <v>25</v>
      </c>
      <c r="D20" s="38" t="s">
        <v>22</v>
      </c>
      <c r="E20" s="38" t="s">
        <v>25</v>
      </c>
      <c r="F20" s="38" t="s">
        <v>22</v>
      </c>
      <c r="G20" s="38" t="s">
        <v>22</v>
      </c>
      <c r="H20" s="38" t="s">
        <v>31</v>
      </c>
      <c r="I20" s="38" t="s">
        <v>21</v>
      </c>
      <c r="J20" s="38" t="s">
        <v>24</v>
      </c>
      <c r="K20" s="38" t="s">
        <v>25</v>
      </c>
      <c r="L20" s="38" t="s">
        <v>25</v>
      </c>
      <c r="M20" s="38" t="s">
        <v>25</v>
      </c>
      <c r="N20" s="38" t="s">
        <v>22</v>
      </c>
      <c r="O20" s="38" t="s">
        <v>22</v>
      </c>
      <c r="P20" s="39" t="s">
        <v>59</v>
      </c>
      <c r="Q20" s="39" t="s">
        <v>167</v>
      </c>
    </row>
    <row r="21" customFormat="false" ht="30" hidden="false" customHeight="true" outlineLevel="0" collapsed="false">
      <c r="A21" s="40" t="s">
        <v>59</v>
      </c>
      <c r="B21" s="38" t="s">
        <v>21</v>
      </c>
      <c r="C21" s="38" t="s">
        <v>31</v>
      </c>
      <c r="D21" s="38" t="s">
        <v>22</v>
      </c>
      <c r="E21" s="38" t="s">
        <v>25</v>
      </c>
      <c r="F21" s="38" t="s">
        <v>22</v>
      </c>
      <c r="G21" s="38" t="s">
        <v>22</v>
      </c>
      <c r="H21" s="38" t="s">
        <v>31</v>
      </c>
      <c r="I21" s="38" t="s">
        <v>21</v>
      </c>
      <c r="J21" s="38" t="s">
        <v>24</v>
      </c>
      <c r="K21" s="38" t="s">
        <v>25</v>
      </c>
      <c r="L21" s="38" t="s">
        <v>25</v>
      </c>
      <c r="M21" s="38" t="s">
        <v>61</v>
      </c>
      <c r="N21" s="38" t="s">
        <v>21</v>
      </c>
      <c r="O21" s="38" t="s">
        <v>22</v>
      </c>
      <c r="P21" s="39" t="s">
        <v>20</v>
      </c>
      <c r="Q21" s="39" t="s">
        <v>168</v>
      </c>
    </row>
    <row r="22" customFormat="false" ht="30" hidden="false" customHeight="true" outlineLevel="0" collapsed="false">
      <c r="A22" s="40" t="s">
        <v>63</v>
      </c>
      <c r="B22" s="38" t="s">
        <v>31</v>
      </c>
      <c r="C22" s="38" t="s">
        <v>22</v>
      </c>
      <c r="D22" s="38" t="s">
        <v>22</v>
      </c>
      <c r="E22" s="38" t="s">
        <v>25</v>
      </c>
      <c r="F22" s="38" t="s">
        <v>22</v>
      </c>
      <c r="G22" s="38" t="s">
        <v>22</v>
      </c>
      <c r="H22" s="38" t="s">
        <v>25</v>
      </c>
      <c r="I22" s="38" t="s">
        <v>25</v>
      </c>
      <c r="J22" s="38" t="s">
        <v>25</v>
      </c>
      <c r="K22" s="38" t="s">
        <v>25</v>
      </c>
      <c r="L22" s="38" t="s">
        <v>25</v>
      </c>
      <c r="M22" s="38" t="s">
        <v>25</v>
      </c>
      <c r="N22" s="38" t="s">
        <v>22</v>
      </c>
      <c r="O22" s="38" t="s">
        <v>31</v>
      </c>
      <c r="P22" s="39" t="s">
        <v>169</v>
      </c>
      <c r="Q22" s="39" t="s">
        <v>170</v>
      </c>
    </row>
    <row r="23" customFormat="false" ht="30" hidden="false" customHeight="true" outlineLevel="0" collapsed="false">
      <c r="A23" s="37" t="s">
        <v>171</v>
      </c>
      <c r="B23" s="38" t="s">
        <v>22</v>
      </c>
      <c r="C23" s="38" t="s">
        <v>25</v>
      </c>
      <c r="D23" s="38" t="s">
        <v>22</v>
      </c>
      <c r="E23" s="38" t="s">
        <v>25</v>
      </c>
      <c r="F23" s="38" t="s">
        <v>22</v>
      </c>
      <c r="G23" s="38" t="s">
        <v>22</v>
      </c>
      <c r="H23" s="38" t="s">
        <v>25</v>
      </c>
      <c r="I23" s="38" t="s">
        <v>25</v>
      </c>
      <c r="J23" s="38" t="s">
        <v>25</v>
      </c>
      <c r="K23" s="38" t="s">
        <v>25</v>
      </c>
      <c r="L23" s="38" t="s">
        <v>25</v>
      </c>
      <c r="M23" s="38" t="s">
        <v>25</v>
      </c>
      <c r="N23" s="38" t="s">
        <v>22</v>
      </c>
      <c r="O23" s="38" t="s">
        <v>21</v>
      </c>
      <c r="P23" s="39" t="s">
        <v>171</v>
      </c>
      <c r="Q23" s="39" t="s">
        <v>172</v>
      </c>
    </row>
    <row r="26" customFormat="false" ht="15" hidden="false" customHeight="true" outlineLevel="0" collapsed="false">
      <c r="A26" s="42" t="s">
        <v>173</v>
      </c>
    </row>
    <row r="27" customFormat="false" ht="15" hidden="false" customHeight="true" outlineLevel="0" collapsed="false">
      <c r="A27" s="43" t="s">
        <v>174</v>
      </c>
    </row>
    <row r="28" customFormat="false" ht="15" hidden="false" customHeight="true" outlineLevel="0" collapsed="false">
      <c r="A28" s="43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46"/>
    <col collapsed="false" customWidth="true" hidden="false" outlineLevel="0" max="4" min="4" style="1" width="72"/>
    <col collapsed="false" customWidth="true" hidden="false" outlineLevel="0" max="26" min="5" style="1" width="8.71"/>
  </cols>
  <sheetData>
    <row r="1" customFormat="false" ht="13.5" hidden="false" customHeight="true" outlineLevel="0" collapsed="false">
      <c r="B1" s="2" t="s">
        <v>176</v>
      </c>
      <c r="C1" s="2"/>
      <c r="D1" s="2"/>
    </row>
    <row r="2" customFormat="false" ht="13.5" hidden="false" customHeight="true" outlineLevel="0" collapsed="false">
      <c r="B2" s="3" t="s">
        <v>177</v>
      </c>
      <c r="C2" s="3"/>
      <c r="D2" s="3"/>
    </row>
    <row r="3" customFormat="false" ht="13.5" hidden="false" customHeight="true" outlineLevel="0" collapsed="false"/>
    <row r="4" customFormat="false" ht="13.5" hidden="false" customHeight="true" outlineLevel="0" collapsed="false">
      <c r="A4" s="5" t="s">
        <v>178</v>
      </c>
      <c r="B4" s="5" t="s">
        <v>179</v>
      </c>
      <c r="C4" s="5" t="s">
        <v>180</v>
      </c>
      <c r="D4" s="5" t="s">
        <v>181</v>
      </c>
    </row>
    <row r="5" customFormat="false" ht="27.75" hidden="false" customHeight="true" outlineLevel="0" collapsed="false">
      <c r="A5" s="44" t="s">
        <v>182</v>
      </c>
      <c r="B5" s="45" t="s">
        <v>183</v>
      </c>
      <c r="C5" s="11" t="s">
        <v>184</v>
      </c>
      <c r="D5" s="11" t="s">
        <v>185</v>
      </c>
    </row>
    <row r="6" customFormat="false" ht="27.75" hidden="false" customHeight="true" outlineLevel="0" collapsed="false">
      <c r="A6" s="46" t="s">
        <v>186</v>
      </c>
      <c r="B6" s="47" t="s">
        <v>187</v>
      </c>
      <c r="C6" s="48" t="s">
        <v>188</v>
      </c>
      <c r="D6" s="48" t="s">
        <v>189</v>
      </c>
    </row>
    <row r="7" customFormat="false" ht="27.75" hidden="false" customHeight="true" outlineLevel="0" collapsed="false">
      <c r="A7" s="44" t="s">
        <v>190</v>
      </c>
      <c r="B7" s="45" t="s">
        <v>183</v>
      </c>
      <c r="C7" s="11" t="s">
        <v>191</v>
      </c>
      <c r="D7" s="11" t="s">
        <v>192</v>
      </c>
    </row>
    <row r="8" customFormat="false" ht="27.75" hidden="false" customHeight="true" outlineLevel="0" collapsed="false">
      <c r="A8" s="46" t="s">
        <v>193</v>
      </c>
      <c r="B8" s="47" t="s">
        <v>183</v>
      </c>
      <c r="C8" s="48" t="s">
        <v>194</v>
      </c>
      <c r="D8" s="48" t="s">
        <v>195</v>
      </c>
    </row>
    <row r="9" customFormat="false" ht="27.75" hidden="false" customHeight="true" outlineLevel="0" collapsed="false">
      <c r="A9" s="44" t="s">
        <v>196</v>
      </c>
      <c r="B9" s="45" t="s">
        <v>183</v>
      </c>
      <c r="C9" s="11" t="s">
        <v>197</v>
      </c>
      <c r="D9" s="11" t="s">
        <v>198</v>
      </c>
    </row>
    <row r="10" customFormat="false" ht="27.75" hidden="false" customHeight="true" outlineLevel="0" collapsed="false">
      <c r="A10" s="46" t="s">
        <v>199</v>
      </c>
      <c r="B10" s="47" t="s">
        <v>183</v>
      </c>
      <c r="C10" s="48" t="s">
        <v>200</v>
      </c>
      <c r="D10" s="48" t="s">
        <v>201</v>
      </c>
    </row>
    <row r="11" customFormat="false" ht="27.75" hidden="false" customHeight="true" outlineLevel="0" collapsed="false">
      <c r="A11" s="44" t="s">
        <v>202</v>
      </c>
      <c r="B11" s="45" t="s">
        <v>187</v>
      </c>
      <c r="C11" s="11" t="s">
        <v>203</v>
      </c>
      <c r="D11" s="11" t="s">
        <v>204</v>
      </c>
    </row>
    <row r="12" customFormat="false" ht="27.75" hidden="false" customHeight="true" outlineLevel="0" collapsed="false">
      <c r="A12" s="46" t="s">
        <v>205</v>
      </c>
      <c r="B12" s="47" t="s">
        <v>187</v>
      </c>
      <c r="C12" s="48" t="s">
        <v>206</v>
      </c>
      <c r="D12" s="48" t="s">
        <v>207</v>
      </c>
    </row>
    <row r="13" customFormat="false" ht="27.75" hidden="false" customHeight="true" outlineLevel="0" collapsed="false">
      <c r="A13" s="44" t="s">
        <v>208</v>
      </c>
      <c r="B13" s="45" t="s">
        <v>209</v>
      </c>
      <c r="C13" s="11" t="s">
        <v>210</v>
      </c>
      <c r="D13" s="11" t="s">
        <v>211</v>
      </c>
    </row>
    <row r="14" customFormat="false" ht="27.75" hidden="false" customHeight="true" outlineLevel="0" collapsed="false">
      <c r="A14" s="46" t="s">
        <v>212</v>
      </c>
      <c r="B14" s="47" t="s">
        <v>209</v>
      </c>
      <c r="C14" s="48" t="s">
        <v>213</v>
      </c>
      <c r="D14" s="48" t="s">
        <v>214</v>
      </c>
    </row>
    <row r="15" customFormat="false" ht="27.75" hidden="false" customHeight="true" outlineLevel="0" collapsed="false">
      <c r="A15" s="44" t="s">
        <v>215</v>
      </c>
      <c r="B15" s="45" t="s">
        <v>209</v>
      </c>
      <c r="C15" s="11" t="s">
        <v>216</v>
      </c>
      <c r="D15" s="11" t="s">
        <v>217</v>
      </c>
    </row>
    <row r="16" customFormat="false" ht="27.75" hidden="false" customHeight="true" outlineLevel="0" collapsed="false">
      <c r="A16" s="46" t="s">
        <v>218</v>
      </c>
      <c r="B16" s="47" t="s">
        <v>219</v>
      </c>
      <c r="C16" s="48" t="s">
        <v>220</v>
      </c>
      <c r="D16" s="48" t="s">
        <v>221</v>
      </c>
    </row>
    <row r="17" customFormat="false" ht="27.75" hidden="false" customHeight="true" outlineLevel="0" collapsed="false">
      <c r="A17" s="44" t="s">
        <v>222</v>
      </c>
      <c r="B17" s="45" t="s">
        <v>183</v>
      </c>
      <c r="C17" s="11" t="s">
        <v>223</v>
      </c>
      <c r="D17" s="11" t="s">
        <v>224</v>
      </c>
    </row>
    <row r="18" customFormat="false" ht="27.75" hidden="false" customHeight="true" outlineLevel="0" collapsed="false">
      <c r="A18" s="46" t="s">
        <v>225</v>
      </c>
      <c r="B18" s="47" t="s">
        <v>183</v>
      </c>
      <c r="C18" s="48" t="s">
        <v>226</v>
      </c>
      <c r="D18" s="48" t="s">
        <v>227</v>
      </c>
    </row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>
      <c r="A21" s="49" t="s">
        <v>228</v>
      </c>
    </row>
    <row r="22" customFormat="false" ht="24" hidden="false" customHeight="true" outlineLevel="0" collapsed="false">
      <c r="A22" s="50" t="s">
        <v>229</v>
      </c>
      <c r="B22" s="50"/>
      <c r="C22" s="50"/>
      <c r="D22" s="50"/>
    </row>
    <row r="23" customFormat="false" ht="24" hidden="false" customHeight="true" outlineLevel="0" collapsed="false">
      <c r="A23" s="50" t="s">
        <v>230</v>
      </c>
      <c r="B23" s="50"/>
      <c r="C23" s="50"/>
      <c r="D23" s="50"/>
    </row>
    <row r="24" customFormat="false" ht="24" hidden="false" customHeight="true" outlineLevel="0" collapsed="false">
      <c r="A24" s="50" t="s">
        <v>231</v>
      </c>
      <c r="B24" s="50"/>
      <c r="C24" s="50"/>
      <c r="D24" s="50"/>
    </row>
    <row r="25" customFormat="false" ht="24" hidden="false" customHeight="true" outlineLevel="0" collapsed="false">
      <c r="A25" s="50" t="s">
        <v>232</v>
      </c>
      <c r="B25" s="50"/>
      <c r="C25" s="50"/>
      <c r="D25" s="50"/>
    </row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6">
    <mergeCell ref="B1:D1"/>
    <mergeCell ref="B2:D2"/>
    <mergeCell ref="A22:D22"/>
    <mergeCell ref="A23:D23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7"/>
    <col collapsed="false" customWidth="true" hidden="false" outlineLevel="0" max="3" min="3" style="1" width="13"/>
    <col collapsed="false" customWidth="true" hidden="false" outlineLevel="0" max="4" min="4" style="1" width="56"/>
    <col collapsed="false" customWidth="true" hidden="false" outlineLevel="0" max="5" min="5" style="1" width="60"/>
    <col collapsed="false" customWidth="true" hidden="false" outlineLevel="0" max="26" min="6" style="1" width="8.71"/>
  </cols>
  <sheetData>
    <row r="1" customFormat="false" ht="13.5" hidden="false" customHeight="true" outlineLevel="0" collapsed="false">
      <c r="B1" s="2" t="s">
        <v>233</v>
      </c>
      <c r="C1" s="2"/>
      <c r="D1" s="2"/>
      <c r="E1" s="2"/>
    </row>
    <row r="2" customFormat="false" ht="13.5" hidden="false" customHeight="true" outlineLevel="0" collapsed="false">
      <c r="B2" s="3" t="s">
        <v>234</v>
      </c>
      <c r="C2" s="3"/>
      <c r="D2" s="3"/>
      <c r="E2" s="3"/>
    </row>
    <row r="3" customFormat="false" ht="13.5" hidden="false" customHeight="true" outlineLevel="0" collapsed="false"/>
    <row r="4" customFormat="false" ht="13.5" hidden="false" customHeight="true" outlineLevel="0" collapsed="false">
      <c r="A4" s="5" t="s">
        <v>235</v>
      </c>
      <c r="B4" s="5" t="s">
        <v>236</v>
      </c>
      <c r="C4" s="5" t="s">
        <v>3</v>
      </c>
      <c r="D4" s="5" t="s">
        <v>237</v>
      </c>
      <c r="E4" s="5" t="s">
        <v>238</v>
      </c>
    </row>
    <row r="5" customFormat="false" ht="25.5" hidden="false" customHeight="true" outlineLevel="0" collapsed="false">
      <c r="A5" s="51" t="s">
        <v>239</v>
      </c>
      <c r="B5" s="52" t="s">
        <v>21</v>
      </c>
      <c r="C5" s="53" t="s">
        <v>20</v>
      </c>
      <c r="D5" s="54" t="s">
        <v>240</v>
      </c>
      <c r="E5" s="55" t="s">
        <v>241</v>
      </c>
    </row>
    <row r="6" customFormat="false" ht="25.5" hidden="false" customHeight="true" outlineLevel="0" collapsed="false">
      <c r="A6" s="51"/>
      <c r="B6" s="52" t="s">
        <v>23</v>
      </c>
      <c r="C6" s="53" t="s">
        <v>26</v>
      </c>
      <c r="D6" s="54" t="s">
        <v>242</v>
      </c>
      <c r="E6" s="55" t="s">
        <v>243</v>
      </c>
    </row>
    <row r="7" customFormat="false" ht="25.5" hidden="false" customHeight="true" outlineLevel="0" collapsed="false">
      <c r="A7" s="51"/>
      <c r="B7" s="52" t="s">
        <v>51</v>
      </c>
      <c r="C7" s="53" t="s">
        <v>30</v>
      </c>
      <c r="D7" s="54" t="s">
        <v>244</v>
      </c>
      <c r="E7" s="55" t="s">
        <v>245</v>
      </c>
    </row>
    <row r="8" customFormat="false" ht="25.5" hidden="false" customHeight="true" outlineLevel="0" collapsed="false">
      <c r="A8" s="51"/>
      <c r="B8" s="52" t="s">
        <v>61</v>
      </c>
      <c r="C8" s="53" t="s">
        <v>32</v>
      </c>
      <c r="D8" s="54" t="s">
        <v>246</v>
      </c>
      <c r="E8" s="55" t="s">
        <v>247</v>
      </c>
    </row>
    <row r="9" customFormat="false" ht="25.5" hidden="false" customHeight="true" outlineLevel="0" collapsed="false">
      <c r="A9" s="51" t="s">
        <v>248</v>
      </c>
      <c r="B9" s="52" t="s">
        <v>21</v>
      </c>
      <c r="C9" s="53" t="s">
        <v>20</v>
      </c>
      <c r="D9" s="54" t="s">
        <v>249</v>
      </c>
      <c r="E9" s="55" t="s">
        <v>250</v>
      </c>
    </row>
    <row r="10" customFormat="false" ht="25.5" hidden="false" customHeight="true" outlineLevel="0" collapsed="false">
      <c r="A10" s="51"/>
      <c r="B10" s="52" t="s">
        <v>23</v>
      </c>
      <c r="C10" s="53" t="s">
        <v>26</v>
      </c>
      <c r="D10" s="54" t="s">
        <v>251</v>
      </c>
      <c r="E10" s="55" t="s">
        <v>243</v>
      </c>
    </row>
    <row r="11" customFormat="false" ht="25.5" hidden="false" customHeight="true" outlineLevel="0" collapsed="false">
      <c r="A11" s="51"/>
      <c r="B11" s="52" t="s">
        <v>51</v>
      </c>
      <c r="C11" s="53" t="s">
        <v>30</v>
      </c>
      <c r="D11" s="54" t="s">
        <v>252</v>
      </c>
      <c r="E11" s="55" t="s">
        <v>253</v>
      </c>
    </row>
    <row r="12" customFormat="false" ht="25.5" hidden="false" customHeight="true" outlineLevel="0" collapsed="false">
      <c r="A12" s="51"/>
      <c r="B12" s="52" t="s">
        <v>61</v>
      </c>
      <c r="C12" s="53" t="s">
        <v>32</v>
      </c>
      <c r="D12" s="54" t="s">
        <v>246</v>
      </c>
      <c r="E12" s="55" t="s">
        <v>247</v>
      </c>
    </row>
    <row r="13" customFormat="false" ht="25.5" hidden="false" customHeight="true" outlineLevel="0" collapsed="false">
      <c r="A13" s="51" t="s">
        <v>254</v>
      </c>
      <c r="B13" s="52" t="s">
        <v>21</v>
      </c>
      <c r="C13" s="53" t="s">
        <v>20</v>
      </c>
      <c r="D13" s="54" t="s">
        <v>255</v>
      </c>
      <c r="E13" s="55" t="s">
        <v>250</v>
      </c>
    </row>
    <row r="14" customFormat="false" ht="25.5" hidden="false" customHeight="true" outlineLevel="0" collapsed="false">
      <c r="A14" s="51"/>
      <c r="B14" s="52" t="s">
        <v>23</v>
      </c>
      <c r="C14" s="53" t="s">
        <v>26</v>
      </c>
      <c r="D14" s="54" t="s">
        <v>256</v>
      </c>
      <c r="E14" s="55" t="s">
        <v>243</v>
      </c>
    </row>
    <row r="15" customFormat="false" ht="25.5" hidden="false" customHeight="true" outlineLevel="0" collapsed="false">
      <c r="A15" s="51"/>
      <c r="B15" s="52" t="s">
        <v>51</v>
      </c>
      <c r="C15" s="53" t="s">
        <v>43</v>
      </c>
      <c r="D15" s="54" t="s">
        <v>257</v>
      </c>
      <c r="E15" s="55" t="s">
        <v>253</v>
      </c>
    </row>
    <row r="16" customFormat="false" ht="25.5" hidden="false" customHeight="true" outlineLevel="0" collapsed="false">
      <c r="A16" s="51"/>
      <c r="B16" s="52" t="s">
        <v>61</v>
      </c>
      <c r="C16" s="53" t="s">
        <v>46</v>
      </c>
      <c r="D16" s="54" t="s">
        <v>258</v>
      </c>
      <c r="E16" s="55" t="s">
        <v>259</v>
      </c>
    </row>
    <row r="17" customFormat="false" ht="25.5" hidden="false" customHeight="true" outlineLevel="0" collapsed="false">
      <c r="A17" s="51"/>
      <c r="B17" s="52" t="s">
        <v>260</v>
      </c>
      <c r="C17" s="53" t="s">
        <v>47</v>
      </c>
      <c r="D17" s="54" t="s">
        <v>261</v>
      </c>
      <c r="E17" s="55" t="s">
        <v>259</v>
      </c>
    </row>
    <row r="18" customFormat="false" ht="25.5" hidden="false" customHeight="true" outlineLevel="0" collapsed="false">
      <c r="A18" s="51"/>
      <c r="B18" s="52" t="s">
        <v>262</v>
      </c>
      <c r="C18" s="53" t="s">
        <v>49</v>
      </c>
      <c r="D18" s="54" t="s">
        <v>263</v>
      </c>
      <c r="E18" s="55" t="s">
        <v>264</v>
      </c>
    </row>
    <row r="19" customFormat="false" ht="25.5" hidden="false" customHeight="true" outlineLevel="0" collapsed="false">
      <c r="A19" s="51" t="s">
        <v>265</v>
      </c>
      <c r="B19" s="52" t="s">
        <v>21</v>
      </c>
      <c r="C19" s="53" t="s">
        <v>20</v>
      </c>
      <c r="D19" s="54" t="s">
        <v>255</v>
      </c>
      <c r="E19" s="55" t="s">
        <v>250</v>
      </c>
    </row>
    <row r="20" customFormat="false" ht="25.5" hidden="false" customHeight="true" outlineLevel="0" collapsed="false">
      <c r="A20" s="51"/>
      <c r="B20" s="52" t="s">
        <v>23</v>
      </c>
      <c r="C20" s="53" t="s">
        <v>26</v>
      </c>
      <c r="D20" s="54" t="s">
        <v>266</v>
      </c>
      <c r="E20" s="55" t="s">
        <v>243</v>
      </c>
    </row>
    <row r="21" customFormat="false" ht="25.5" hidden="false" customHeight="true" outlineLevel="0" collapsed="false">
      <c r="A21" s="51"/>
      <c r="B21" s="52" t="s">
        <v>51</v>
      </c>
      <c r="C21" s="53" t="s">
        <v>43</v>
      </c>
      <c r="D21" s="54" t="s">
        <v>267</v>
      </c>
      <c r="E21" s="55" t="s">
        <v>253</v>
      </c>
    </row>
    <row r="22" customFormat="false" ht="25.5" hidden="false" customHeight="true" outlineLevel="0" collapsed="false">
      <c r="A22" s="51"/>
      <c r="B22" s="52" t="s">
        <v>61</v>
      </c>
      <c r="C22" s="53" t="s">
        <v>53</v>
      </c>
      <c r="D22" s="54" t="s">
        <v>268</v>
      </c>
      <c r="E22" s="55" t="s">
        <v>269</v>
      </c>
    </row>
    <row r="23" customFormat="false" ht="25.5" hidden="false" customHeight="true" outlineLevel="0" collapsed="false">
      <c r="A23" s="51" t="s">
        <v>270</v>
      </c>
      <c r="B23" s="52" t="s">
        <v>21</v>
      </c>
      <c r="C23" s="53" t="s">
        <v>20</v>
      </c>
      <c r="D23" s="54" t="s">
        <v>255</v>
      </c>
      <c r="E23" s="55" t="s">
        <v>250</v>
      </c>
    </row>
    <row r="24" customFormat="false" ht="25.5" hidden="false" customHeight="true" outlineLevel="0" collapsed="false">
      <c r="A24" s="51"/>
      <c r="B24" s="52" t="s">
        <v>23</v>
      </c>
      <c r="C24" s="53" t="s">
        <v>26</v>
      </c>
      <c r="D24" s="54" t="s">
        <v>271</v>
      </c>
      <c r="E24" s="55" t="s">
        <v>243</v>
      </c>
    </row>
    <row r="25" customFormat="false" ht="25.5" hidden="false" customHeight="true" outlineLevel="0" collapsed="false">
      <c r="A25" s="51"/>
      <c r="B25" s="52" t="s">
        <v>51</v>
      </c>
      <c r="C25" s="53" t="s">
        <v>55</v>
      </c>
      <c r="D25" s="54" t="s">
        <v>272</v>
      </c>
      <c r="E25" s="55" t="s">
        <v>273</v>
      </c>
    </row>
    <row r="26" customFormat="false" ht="25.5" hidden="false" customHeight="true" outlineLevel="0" collapsed="false">
      <c r="A26" s="51" t="s">
        <v>274</v>
      </c>
      <c r="B26" s="52" t="s">
        <v>21</v>
      </c>
      <c r="C26" s="53" t="s">
        <v>20</v>
      </c>
      <c r="D26" s="54" t="s">
        <v>275</v>
      </c>
      <c r="E26" s="55" t="s">
        <v>276</v>
      </c>
    </row>
    <row r="27" customFormat="false" ht="25.5" hidden="false" customHeight="true" outlineLevel="0" collapsed="false">
      <c r="A27" s="51"/>
      <c r="B27" s="52" t="s">
        <v>23</v>
      </c>
      <c r="C27" s="53" t="s">
        <v>26</v>
      </c>
      <c r="D27" s="54" t="s">
        <v>277</v>
      </c>
      <c r="E27" s="55" t="s">
        <v>243</v>
      </c>
    </row>
    <row r="28" customFormat="false" ht="25.5" hidden="false" customHeight="true" outlineLevel="0" collapsed="false">
      <c r="A28" s="51"/>
      <c r="B28" s="52" t="s">
        <v>51</v>
      </c>
      <c r="C28" s="53" t="s">
        <v>58</v>
      </c>
      <c r="D28" s="54" t="s">
        <v>278</v>
      </c>
      <c r="E28" s="55" t="s">
        <v>279</v>
      </c>
    </row>
    <row r="29" customFormat="false" ht="25.5" hidden="false" customHeight="true" outlineLevel="0" collapsed="false">
      <c r="A29" s="51"/>
      <c r="B29" s="52" t="s">
        <v>61</v>
      </c>
      <c r="C29" s="53" t="s">
        <v>59</v>
      </c>
      <c r="D29" s="54" t="s">
        <v>280</v>
      </c>
      <c r="E29" s="55" t="s">
        <v>281</v>
      </c>
    </row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8">
    <mergeCell ref="B1:E1"/>
    <mergeCell ref="B2:E2"/>
    <mergeCell ref="A5:A8"/>
    <mergeCell ref="A9:A12"/>
    <mergeCell ref="A13:A18"/>
    <mergeCell ref="A19:A22"/>
    <mergeCell ref="A23:A25"/>
    <mergeCell ref="A26:A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4.43"/>
    <col collapsed="false" customWidth="true" hidden="false" outlineLevel="0" max="8" min="3" style="1" width="11"/>
    <col collapsed="false" customWidth="true" hidden="false" outlineLevel="0" max="9" min="9" style="1" width="48"/>
    <col collapsed="false" customWidth="true" hidden="false" outlineLevel="0" max="26" min="10" style="1" width="8.71"/>
  </cols>
  <sheetData>
    <row r="1" customFormat="false" ht="13.5" hidden="false" customHeight="true" outlineLevel="0" collapsed="false">
      <c r="B1" s="2" t="s">
        <v>282</v>
      </c>
      <c r="C1" s="2"/>
      <c r="D1" s="2"/>
      <c r="E1" s="2"/>
      <c r="F1" s="2"/>
      <c r="G1" s="2"/>
      <c r="H1" s="2"/>
      <c r="I1" s="2"/>
    </row>
    <row r="2" customFormat="false" ht="13.5" hidden="false" customHeight="true" outlineLevel="0" collapsed="false">
      <c r="B2" s="3" t="s">
        <v>283</v>
      </c>
      <c r="C2" s="3"/>
      <c r="D2" s="3"/>
      <c r="E2" s="3"/>
      <c r="F2" s="3"/>
      <c r="G2" s="3"/>
      <c r="H2" s="3"/>
      <c r="I2" s="3"/>
    </row>
    <row r="3" customFormat="false" ht="13.5" hidden="false" customHeight="true" outlineLevel="0" collapsed="false"/>
    <row r="4" customFormat="false" ht="13.5" hidden="false" customHeight="true" outlineLevel="0" collapsed="false">
      <c r="A4" s="5" t="s">
        <v>235</v>
      </c>
      <c r="B4" s="5" t="s">
        <v>284</v>
      </c>
      <c r="C4" s="5" t="s">
        <v>202</v>
      </c>
      <c r="D4" s="5" t="s">
        <v>205</v>
      </c>
      <c r="E4" s="5" t="s">
        <v>208</v>
      </c>
      <c r="F4" s="5" t="s">
        <v>212</v>
      </c>
      <c r="G4" s="5" t="s">
        <v>215</v>
      </c>
      <c r="H4" s="5" t="s">
        <v>218</v>
      </c>
      <c r="I4" s="5" t="s">
        <v>19</v>
      </c>
    </row>
    <row r="5" customFormat="false" ht="19.5" hidden="false" customHeight="true" outlineLevel="0" collapsed="false">
      <c r="A5" s="56" t="s">
        <v>24</v>
      </c>
      <c r="B5" s="57" t="s">
        <v>285</v>
      </c>
      <c r="C5" s="8" t="s">
        <v>22</v>
      </c>
      <c r="D5" s="8" t="s">
        <v>22</v>
      </c>
      <c r="E5" s="8" t="s">
        <v>286</v>
      </c>
      <c r="F5" s="9" t="s">
        <v>25</v>
      </c>
      <c r="G5" s="9" t="s">
        <v>25</v>
      </c>
      <c r="H5" s="8" t="s">
        <v>22</v>
      </c>
      <c r="I5" s="11"/>
    </row>
    <row r="6" customFormat="false" ht="19.5" hidden="false" customHeight="true" outlineLevel="0" collapsed="false">
      <c r="A6" s="56" t="s">
        <v>287</v>
      </c>
      <c r="B6" s="57" t="s">
        <v>285</v>
      </c>
      <c r="C6" s="17" t="n">
        <v>0</v>
      </c>
      <c r="D6" s="17" t="n">
        <v>0</v>
      </c>
      <c r="E6" s="8" t="s">
        <v>288</v>
      </c>
      <c r="F6" s="9" t="s">
        <v>25</v>
      </c>
      <c r="G6" s="9" t="s">
        <v>25</v>
      </c>
      <c r="H6" s="8" t="n">
        <v>0</v>
      </c>
      <c r="I6" s="11"/>
    </row>
    <row r="7" customFormat="false" ht="19.5" hidden="false" customHeight="true" outlineLevel="0" collapsed="false">
      <c r="A7" s="56" t="s">
        <v>289</v>
      </c>
      <c r="B7" s="57" t="s">
        <v>285</v>
      </c>
      <c r="C7" s="17" t="n">
        <v>0</v>
      </c>
      <c r="D7" s="17" t="n">
        <v>0</v>
      </c>
      <c r="E7" s="58" t="s">
        <v>290</v>
      </c>
      <c r="F7" s="9" t="s">
        <v>25</v>
      </c>
      <c r="G7" s="9" t="s">
        <v>25</v>
      </c>
      <c r="H7" s="17" t="n">
        <v>0</v>
      </c>
      <c r="I7" s="11"/>
    </row>
    <row r="8" customFormat="false" ht="19.5" hidden="false" customHeight="true" outlineLevel="0" collapsed="false">
      <c r="A8" s="56" t="s">
        <v>291</v>
      </c>
      <c r="B8" s="57" t="s">
        <v>285</v>
      </c>
      <c r="C8" s="17" t="n">
        <v>0</v>
      </c>
      <c r="D8" s="17" t="n">
        <v>0</v>
      </c>
      <c r="E8" s="8" t="s">
        <v>292</v>
      </c>
      <c r="F8" s="9" t="s">
        <v>25</v>
      </c>
      <c r="G8" s="9" t="s">
        <v>25</v>
      </c>
      <c r="H8" s="17" t="n">
        <v>0</v>
      </c>
      <c r="I8" s="11"/>
    </row>
    <row r="9" customFormat="false" ht="19.5" hidden="false" customHeight="true" outlineLevel="0" collapsed="false">
      <c r="A9" s="56" t="s">
        <v>293</v>
      </c>
      <c r="B9" s="57" t="s">
        <v>285</v>
      </c>
      <c r="C9" s="17" t="n">
        <v>0</v>
      </c>
      <c r="D9" s="17" t="n">
        <v>0</v>
      </c>
      <c r="E9" s="8" t="s">
        <v>294</v>
      </c>
      <c r="F9" s="9" t="s">
        <v>25</v>
      </c>
      <c r="G9" s="9" t="s">
        <v>25</v>
      </c>
      <c r="H9" s="17" t="n">
        <v>0</v>
      </c>
      <c r="I9" s="11"/>
    </row>
    <row r="10" customFormat="false" ht="19.5" hidden="false" customHeight="true" outlineLevel="0" collapsed="false">
      <c r="A10" s="56" t="s">
        <v>295</v>
      </c>
      <c r="B10" s="57" t="s">
        <v>285</v>
      </c>
      <c r="C10" s="17" t="n">
        <v>0</v>
      </c>
      <c r="D10" s="17" t="n">
        <v>0</v>
      </c>
      <c r="E10" s="8" t="s">
        <v>296</v>
      </c>
      <c r="F10" s="9" t="s">
        <v>25</v>
      </c>
      <c r="G10" s="9" t="s">
        <v>25</v>
      </c>
      <c r="H10" s="17" t="n">
        <v>0</v>
      </c>
      <c r="I10" s="11"/>
    </row>
    <row r="11" customFormat="false" ht="19.5" hidden="false" customHeight="true" outlineLevel="0" collapsed="false">
      <c r="A11" s="56" t="s">
        <v>297</v>
      </c>
      <c r="B11" s="57" t="s">
        <v>285</v>
      </c>
      <c r="C11" s="17" t="n">
        <v>0</v>
      </c>
      <c r="D11" s="17" t="n">
        <v>0</v>
      </c>
      <c r="E11" s="8" t="s">
        <v>298</v>
      </c>
      <c r="F11" s="9" t="s">
        <v>25</v>
      </c>
      <c r="G11" s="9" t="s">
        <v>25</v>
      </c>
      <c r="H11" s="17" t="n">
        <v>0</v>
      </c>
      <c r="I11" s="11"/>
    </row>
    <row r="12" customFormat="false" ht="19.5" hidden="false" customHeight="true" outlineLevel="0" collapsed="false">
      <c r="A12" s="56" t="s">
        <v>299</v>
      </c>
      <c r="B12" s="57" t="s">
        <v>285</v>
      </c>
      <c r="C12" s="17" t="n">
        <v>0</v>
      </c>
      <c r="D12" s="17" t="n">
        <v>0</v>
      </c>
      <c r="E12" s="8" t="s">
        <v>300</v>
      </c>
      <c r="F12" s="9" t="s">
        <v>25</v>
      </c>
      <c r="G12" s="9" t="s">
        <v>25</v>
      </c>
      <c r="H12" s="17" t="n">
        <v>0</v>
      </c>
      <c r="I12" s="11"/>
    </row>
    <row r="13" customFormat="false" ht="19.5" hidden="false" customHeight="true" outlineLevel="0" collapsed="false">
      <c r="A13" s="56" t="s">
        <v>301</v>
      </c>
      <c r="B13" s="57" t="s">
        <v>285</v>
      </c>
      <c r="C13" s="17" t="n">
        <v>0</v>
      </c>
      <c r="D13" s="17" t="n">
        <v>0</v>
      </c>
      <c r="E13" s="8" t="s">
        <v>302</v>
      </c>
      <c r="F13" s="9" t="s">
        <v>25</v>
      </c>
      <c r="G13" s="9" t="s">
        <v>25</v>
      </c>
      <c r="H13" s="17" t="n">
        <v>0</v>
      </c>
      <c r="I13" s="11"/>
    </row>
    <row r="14" customFormat="false" ht="19.5" hidden="false" customHeight="true" outlineLevel="0" collapsed="false">
      <c r="A14" s="56" t="s">
        <v>303</v>
      </c>
      <c r="B14" s="57" t="s">
        <v>285</v>
      </c>
      <c r="C14" s="17" t="n">
        <v>0</v>
      </c>
      <c r="D14" s="17" t="n">
        <v>0</v>
      </c>
      <c r="E14" s="8" t="s">
        <v>304</v>
      </c>
      <c r="F14" s="9" t="s">
        <v>25</v>
      </c>
      <c r="G14" s="9" t="s">
        <v>25</v>
      </c>
      <c r="H14" s="17" t="n">
        <v>0</v>
      </c>
      <c r="I14" s="11"/>
    </row>
    <row r="15" customFormat="false" ht="19.5" hidden="false" customHeight="true" outlineLevel="0" collapsed="false">
      <c r="A15" s="56" t="s">
        <v>305</v>
      </c>
      <c r="B15" s="57" t="s">
        <v>285</v>
      </c>
      <c r="C15" s="8" t="s">
        <v>22</v>
      </c>
      <c r="D15" s="8" t="s">
        <v>21</v>
      </c>
      <c r="E15" s="8" t="s">
        <v>286</v>
      </c>
      <c r="F15" s="9" t="s">
        <v>25</v>
      </c>
      <c r="G15" s="9" t="s">
        <v>25</v>
      </c>
      <c r="H15" s="8" t="s">
        <v>22</v>
      </c>
      <c r="I15" s="11"/>
    </row>
    <row r="16" customFormat="false" ht="19.5" hidden="false" customHeight="true" outlineLevel="0" collapsed="false">
      <c r="A16" s="56" t="s">
        <v>306</v>
      </c>
      <c r="B16" s="57" t="s">
        <v>285</v>
      </c>
      <c r="C16" s="17" t="n">
        <v>0</v>
      </c>
      <c r="D16" s="17" t="n">
        <v>1</v>
      </c>
      <c r="E16" s="17" t="str">
        <f aca="false">E8</f>
        <v>SLT (4'h9)</v>
      </c>
      <c r="F16" s="9" t="s">
        <v>25</v>
      </c>
      <c r="G16" s="9" t="s">
        <v>25</v>
      </c>
      <c r="H16" s="17" t="n">
        <v>0</v>
      </c>
      <c r="I16" s="11"/>
    </row>
    <row r="17" customFormat="false" ht="19.5" hidden="false" customHeight="true" outlineLevel="0" collapsed="false">
      <c r="A17" s="56" t="s">
        <v>307</v>
      </c>
      <c r="B17" s="57" t="s">
        <v>285</v>
      </c>
      <c r="C17" s="17" t="n">
        <v>0</v>
      </c>
      <c r="D17" s="17" t="n">
        <v>1</v>
      </c>
      <c r="E17" s="17" t="str">
        <f aca="false">E9</f>
        <v>SLTU (4'hA)</v>
      </c>
      <c r="F17" s="9" t="s">
        <v>25</v>
      </c>
      <c r="G17" s="9" t="s">
        <v>25</v>
      </c>
      <c r="H17" s="17" t="n">
        <v>0</v>
      </c>
      <c r="I17" s="11"/>
    </row>
    <row r="18" customFormat="false" ht="19.5" hidden="false" customHeight="true" outlineLevel="0" collapsed="false">
      <c r="A18" s="56" t="s">
        <v>308</v>
      </c>
      <c r="B18" s="57" t="s">
        <v>285</v>
      </c>
      <c r="C18" s="17" t="n">
        <v>0</v>
      </c>
      <c r="D18" s="17" t="n">
        <v>1</v>
      </c>
      <c r="E18" s="17" t="str">
        <f aca="false">E10</f>
        <v>XOR (4'h5)</v>
      </c>
      <c r="F18" s="9" t="s">
        <v>25</v>
      </c>
      <c r="G18" s="9" t="s">
        <v>25</v>
      </c>
      <c r="H18" s="17" t="n">
        <v>0</v>
      </c>
      <c r="I18" s="11"/>
    </row>
    <row r="19" customFormat="false" ht="19.5" hidden="false" customHeight="true" outlineLevel="0" collapsed="false">
      <c r="A19" s="56" t="s">
        <v>309</v>
      </c>
      <c r="B19" s="57" t="s">
        <v>285</v>
      </c>
      <c r="C19" s="17" t="n">
        <v>0</v>
      </c>
      <c r="D19" s="17" t="n">
        <v>1</v>
      </c>
      <c r="E19" s="17" t="str">
        <f aca="false">E13</f>
        <v>OR (4'h4)</v>
      </c>
      <c r="F19" s="9" t="s">
        <v>25</v>
      </c>
      <c r="G19" s="9" t="s">
        <v>25</v>
      </c>
      <c r="H19" s="17" t="n">
        <v>0</v>
      </c>
      <c r="I19" s="11"/>
    </row>
    <row r="20" customFormat="false" ht="19.5" hidden="false" customHeight="true" outlineLevel="0" collapsed="false">
      <c r="A20" s="56" t="s">
        <v>310</v>
      </c>
      <c r="B20" s="57" t="s">
        <v>285</v>
      </c>
      <c r="C20" s="17" t="n">
        <v>0</v>
      </c>
      <c r="D20" s="17" t="n">
        <v>1</v>
      </c>
      <c r="E20" s="17" t="str">
        <f aca="false">E14</f>
        <v>AND (4'h3)</v>
      </c>
      <c r="F20" s="9" t="s">
        <v>25</v>
      </c>
      <c r="G20" s="9" t="s">
        <v>25</v>
      </c>
      <c r="H20" s="17" t="n">
        <v>0</v>
      </c>
      <c r="I20" s="11"/>
    </row>
    <row r="21" customFormat="false" ht="19.5" hidden="false" customHeight="true" outlineLevel="0" collapsed="false">
      <c r="A21" s="56" t="s">
        <v>311</v>
      </c>
      <c r="B21" s="57" t="s">
        <v>285</v>
      </c>
      <c r="C21" s="17" t="n">
        <v>0</v>
      </c>
      <c r="D21" s="17" t="n">
        <v>1</v>
      </c>
      <c r="E21" s="17" t="str">
        <f aca="false">E7</f>
        <v>SLL (4'h6)</v>
      </c>
      <c r="F21" s="9" t="s">
        <v>25</v>
      </c>
      <c r="G21" s="9" t="s">
        <v>25</v>
      </c>
      <c r="H21" s="17" t="n">
        <v>0</v>
      </c>
      <c r="I21" s="11" t="s">
        <v>312</v>
      </c>
    </row>
    <row r="22" customFormat="false" ht="19.5" hidden="false" customHeight="true" outlineLevel="0" collapsed="false">
      <c r="A22" s="56" t="s">
        <v>313</v>
      </c>
      <c r="B22" s="57" t="s">
        <v>285</v>
      </c>
      <c r="C22" s="17" t="n">
        <v>0</v>
      </c>
      <c r="D22" s="17" t="n">
        <v>1</v>
      </c>
      <c r="E22" s="17" t="str">
        <f aca="false">E11</f>
        <v>SRL (4'h7)</v>
      </c>
      <c r="F22" s="9" t="s">
        <v>25</v>
      </c>
      <c r="G22" s="9" t="s">
        <v>25</v>
      </c>
      <c r="H22" s="17" t="n">
        <v>0</v>
      </c>
      <c r="I22" s="11"/>
    </row>
    <row r="23" customFormat="false" ht="19.5" hidden="false" customHeight="true" outlineLevel="0" collapsed="false">
      <c r="A23" s="56" t="s">
        <v>314</v>
      </c>
      <c r="B23" s="57" t="s">
        <v>285</v>
      </c>
      <c r="C23" s="17" t="n">
        <v>0</v>
      </c>
      <c r="D23" s="17" t="n">
        <v>1</v>
      </c>
      <c r="E23" s="17" t="str">
        <f aca="false">E12</f>
        <v>SRA (4'h8)</v>
      </c>
      <c r="F23" s="9" t="s">
        <v>25</v>
      </c>
      <c r="G23" s="9" t="s">
        <v>25</v>
      </c>
      <c r="H23" s="17" t="n">
        <v>0</v>
      </c>
      <c r="I23" s="11"/>
    </row>
    <row r="24" customFormat="false" ht="19.5" hidden="false" customHeight="true" outlineLevel="0" collapsed="false">
      <c r="A24" s="56" t="s">
        <v>315</v>
      </c>
      <c r="B24" s="57" t="s">
        <v>316</v>
      </c>
      <c r="C24" s="8" t="s">
        <v>22</v>
      </c>
      <c r="D24" s="8" t="s">
        <v>21</v>
      </c>
      <c r="E24" s="8" t="s">
        <v>286</v>
      </c>
      <c r="F24" s="9" t="s">
        <v>25</v>
      </c>
      <c r="G24" s="9" t="s">
        <v>25</v>
      </c>
      <c r="H24" s="8" t="s">
        <v>51</v>
      </c>
      <c r="I24" s="11" t="s">
        <v>317</v>
      </c>
    </row>
    <row r="25" customFormat="false" ht="19.5" hidden="false" customHeight="true" outlineLevel="0" collapsed="false">
      <c r="A25" s="56" t="s">
        <v>318</v>
      </c>
      <c r="B25" s="57" t="s">
        <v>316</v>
      </c>
      <c r="C25" s="17" t="n">
        <v>0</v>
      </c>
      <c r="D25" s="17" t="n">
        <v>1</v>
      </c>
      <c r="E25" s="17" t="s">
        <v>286</v>
      </c>
      <c r="F25" s="9" t="s">
        <v>25</v>
      </c>
      <c r="G25" s="9" t="s">
        <v>25</v>
      </c>
      <c r="H25" s="17" t="n">
        <v>3</v>
      </c>
      <c r="I25" s="11"/>
    </row>
    <row r="26" customFormat="false" ht="19.5" hidden="false" customHeight="true" outlineLevel="0" collapsed="false">
      <c r="A26" s="56" t="s">
        <v>319</v>
      </c>
      <c r="B26" s="57" t="s">
        <v>316</v>
      </c>
      <c r="C26" s="8" t="s">
        <v>22</v>
      </c>
      <c r="D26" s="8" t="s">
        <v>21</v>
      </c>
      <c r="E26" s="8" t="s">
        <v>286</v>
      </c>
      <c r="F26" s="9" t="s">
        <v>25</v>
      </c>
      <c r="G26" s="9" t="s">
        <v>25</v>
      </c>
      <c r="H26" s="8" t="s">
        <v>51</v>
      </c>
      <c r="I26" s="11"/>
    </row>
    <row r="27" customFormat="false" ht="19.5" hidden="false" customHeight="true" outlineLevel="0" collapsed="false">
      <c r="A27" s="56" t="s">
        <v>320</v>
      </c>
      <c r="B27" s="57" t="s">
        <v>316</v>
      </c>
      <c r="C27" s="17" t="n">
        <v>0</v>
      </c>
      <c r="D27" s="17" t="n">
        <v>1</v>
      </c>
      <c r="E27" s="17" t="s">
        <v>286</v>
      </c>
      <c r="F27" s="9" t="s">
        <v>25</v>
      </c>
      <c r="G27" s="9" t="s">
        <v>25</v>
      </c>
      <c r="H27" s="17" t="n">
        <v>3</v>
      </c>
      <c r="I27" s="11"/>
    </row>
    <row r="28" customFormat="false" ht="19.5" hidden="false" customHeight="true" outlineLevel="0" collapsed="false">
      <c r="A28" s="56" t="s">
        <v>321</v>
      </c>
      <c r="B28" s="57" t="s">
        <v>316</v>
      </c>
      <c r="C28" s="17" t="n">
        <v>0</v>
      </c>
      <c r="D28" s="17" t="n">
        <v>1</v>
      </c>
      <c r="E28" s="17" t="s">
        <v>286</v>
      </c>
      <c r="F28" s="9" t="s">
        <v>25</v>
      </c>
      <c r="G28" s="9" t="s">
        <v>25</v>
      </c>
      <c r="H28" s="17" t="n">
        <v>3</v>
      </c>
      <c r="I28" s="11"/>
    </row>
    <row r="29" customFormat="false" ht="19.5" hidden="false" customHeight="true" outlineLevel="0" collapsed="false">
      <c r="A29" s="56" t="s">
        <v>322</v>
      </c>
      <c r="B29" s="57" t="s">
        <v>323</v>
      </c>
      <c r="C29" s="17" t="n">
        <v>0</v>
      </c>
      <c r="D29" s="17" t="n">
        <v>1</v>
      </c>
      <c r="E29" s="17" t="s">
        <v>286</v>
      </c>
      <c r="F29" s="9" t="s">
        <v>25</v>
      </c>
      <c r="G29" s="9" t="s">
        <v>25</v>
      </c>
      <c r="H29" s="9" t="s">
        <v>25</v>
      </c>
      <c r="I29" s="11"/>
    </row>
    <row r="30" customFormat="false" ht="19.5" hidden="false" customHeight="true" outlineLevel="0" collapsed="false">
      <c r="A30" s="56" t="s">
        <v>324</v>
      </c>
      <c r="B30" s="57" t="s">
        <v>323</v>
      </c>
      <c r="C30" s="17" t="n">
        <v>0</v>
      </c>
      <c r="D30" s="17" t="n">
        <v>1</v>
      </c>
      <c r="E30" s="17" t="s">
        <v>286</v>
      </c>
      <c r="F30" s="9" t="s">
        <v>25</v>
      </c>
      <c r="G30" s="9" t="s">
        <v>25</v>
      </c>
      <c r="H30" s="9" t="s">
        <v>25</v>
      </c>
      <c r="I30" s="11"/>
    </row>
    <row r="31" customFormat="false" ht="19.5" hidden="false" customHeight="true" outlineLevel="0" collapsed="false">
      <c r="A31" s="56" t="s">
        <v>325</v>
      </c>
      <c r="B31" s="57" t="s">
        <v>323</v>
      </c>
      <c r="C31" s="8" t="s">
        <v>22</v>
      </c>
      <c r="D31" s="8" t="s">
        <v>21</v>
      </c>
      <c r="E31" s="8" t="s">
        <v>286</v>
      </c>
      <c r="F31" s="9" t="s">
        <v>25</v>
      </c>
      <c r="G31" s="9" t="s">
        <v>25</v>
      </c>
      <c r="H31" s="9" t="s">
        <v>25</v>
      </c>
      <c r="I31" s="11" t="s">
        <v>326</v>
      </c>
    </row>
    <row r="32" customFormat="false" ht="19.5" hidden="false" customHeight="true" outlineLevel="0" collapsed="false">
      <c r="A32" s="56" t="s">
        <v>327</v>
      </c>
      <c r="B32" s="57" t="s">
        <v>55</v>
      </c>
      <c r="C32" s="8" t="s">
        <v>21</v>
      </c>
      <c r="D32" s="8" t="s">
        <v>21</v>
      </c>
      <c r="E32" s="8" t="s">
        <v>286</v>
      </c>
      <c r="F32" s="9" t="s">
        <v>25</v>
      </c>
      <c r="G32" s="9" t="s">
        <v>25</v>
      </c>
      <c r="H32" s="9" t="s">
        <v>25</v>
      </c>
      <c r="I32" s="11" t="s">
        <v>328</v>
      </c>
    </row>
    <row r="33" customFormat="false" ht="19.5" hidden="false" customHeight="true" outlineLevel="0" collapsed="false">
      <c r="A33" s="56" t="s">
        <v>329</v>
      </c>
      <c r="B33" s="57" t="s">
        <v>55</v>
      </c>
      <c r="C33" s="17" t="n">
        <v>1</v>
      </c>
      <c r="D33" s="17" t="n">
        <v>1</v>
      </c>
      <c r="E33" s="17" t="s">
        <v>286</v>
      </c>
      <c r="F33" s="9" t="s">
        <v>25</v>
      </c>
      <c r="G33" s="9" t="s">
        <v>25</v>
      </c>
      <c r="H33" s="9" t="s">
        <v>25</v>
      </c>
      <c r="I33" s="11"/>
    </row>
    <row r="34" customFormat="false" ht="19.5" hidden="false" customHeight="true" outlineLevel="0" collapsed="false">
      <c r="A34" s="56" t="s">
        <v>330</v>
      </c>
      <c r="B34" s="57" t="s">
        <v>55</v>
      </c>
      <c r="C34" s="17" t="n">
        <v>1</v>
      </c>
      <c r="D34" s="17" t="n">
        <v>1</v>
      </c>
      <c r="E34" s="17" t="s">
        <v>286</v>
      </c>
      <c r="F34" s="9" t="s">
        <v>25</v>
      </c>
      <c r="G34" s="9" t="s">
        <v>25</v>
      </c>
      <c r="H34" s="9" t="s">
        <v>25</v>
      </c>
      <c r="I34" s="11"/>
    </row>
    <row r="35" customFormat="false" ht="19.5" hidden="false" customHeight="true" outlineLevel="0" collapsed="false">
      <c r="A35" s="56" t="s">
        <v>331</v>
      </c>
      <c r="B35" s="57" t="s">
        <v>55</v>
      </c>
      <c r="C35" s="17" t="n">
        <v>1</v>
      </c>
      <c r="D35" s="17" t="n">
        <v>1</v>
      </c>
      <c r="E35" s="17" t="s">
        <v>286</v>
      </c>
      <c r="F35" s="9" t="s">
        <v>25</v>
      </c>
      <c r="G35" s="9" t="s">
        <v>25</v>
      </c>
      <c r="H35" s="9" t="s">
        <v>25</v>
      </c>
      <c r="I35" s="11"/>
    </row>
    <row r="36" customFormat="false" ht="19.5" hidden="false" customHeight="true" outlineLevel="0" collapsed="false">
      <c r="A36" s="56" t="s">
        <v>332</v>
      </c>
      <c r="B36" s="57" t="s">
        <v>55</v>
      </c>
      <c r="C36" s="17" t="n">
        <v>1</v>
      </c>
      <c r="D36" s="17" t="n">
        <v>1</v>
      </c>
      <c r="E36" s="17" t="s">
        <v>286</v>
      </c>
      <c r="F36" s="9" t="s">
        <v>25</v>
      </c>
      <c r="G36" s="9" t="s">
        <v>25</v>
      </c>
      <c r="H36" s="9" t="s">
        <v>25</v>
      </c>
      <c r="I36" s="11"/>
    </row>
    <row r="37" customFormat="false" ht="19.5" hidden="false" customHeight="true" outlineLevel="0" collapsed="false">
      <c r="A37" s="56" t="s">
        <v>333</v>
      </c>
      <c r="B37" s="57" t="s">
        <v>55</v>
      </c>
      <c r="C37" s="17" t="n">
        <v>1</v>
      </c>
      <c r="D37" s="17" t="n">
        <v>1</v>
      </c>
      <c r="E37" s="17" t="s">
        <v>286</v>
      </c>
      <c r="F37" s="9" t="s">
        <v>25</v>
      </c>
      <c r="G37" s="9" t="s">
        <v>25</v>
      </c>
      <c r="H37" s="9" t="s">
        <v>25</v>
      </c>
      <c r="I37" s="11"/>
    </row>
    <row r="38" customFormat="false" ht="19.5" hidden="false" customHeight="true" outlineLevel="0" collapsed="false">
      <c r="A38" s="56" t="s">
        <v>334</v>
      </c>
      <c r="B38" s="57" t="s">
        <v>335</v>
      </c>
      <c r="C38" s="8" t="s">
        <v>21</v>
      </c>
      <c r="D38" s="8" t="s">
        <v>21</v>
      </c>
      <c r="E38" s="8" t="s">
        <v>286</v>
      </c>
      <c r="F38" s="9" t="s">
        <v>25</v>
      </c>
      <c r="G38" s="9" t="s">
        <v>25</v>
      </c>
      <c r="H38" s="8" t="s">
        <v>61</v>
      </c>
      <c r="I38" s="11" t="s">
        <v>336</v>
      </c>
    </row>
    <row r="39" customFormat="false" ht="19.5" hidden="false" customHeight="true" outlineLevel="0" collapsed="false">
      <c r="A39" s="56" t="s">
        <v>337</v>
      </c>
      <c r="B39" s="57" t="s">
        <v>335</v>
      </c>
      <c r="C39" s="17" t="n">
        <v>0</v>
      </c>
      <c r="D39" s="17" t="n">
        <v>1</v>
      </c>
      <c r="E39" s="17" t="s">
        <v>286</v>
      </c>
      <c r="F39" s="9" t="s">
        <v>25</v>
      </c>
      <c r="G39" s="9" t="s">
        <v>25</v>
      </c>
      <c r="H39" s="17" t="n">
        <v>4</v>
      </c>
      <c r="I39" s="11" t="s">
        <v>338</v>
      </c>
    </row>
    <row r="40" customFormat="false" ht="19.5" hidden="false" customHeight="true" outlineLevel="0" collapsed="false">
      <c r="A40" s="56" t="s">
        <v>339</v>
      </c>
      <c r="B40" s="57" t="s">
        <v>285</v>
      </c>
      <c r="C40" s="17" t="s">
        <v>25</v>
      </c>
      <c r="D40" s="17" t="n">
        <v>1</v>
      </c>
      <c r="E40" s="17" t="s">
        <v>340</v>
      </c>
      <c r="F40" s="9" t="s">
        <v>25</v>
      </c>
      <c r="G40" s="9" t="s">
        <v>25</v>
      </c>
      <c r="H40" s="17" t="n">
        <v>0</v>
      </c>
      <c r="I40" s="11" t="s">
        <v>341</v>
      </c>
    </row>
    <row r="41" customFormat="false" ht="19.5" hidden="false" customHeight="true" outlineLevel="0" collapsed="false">
      <c r="A41" s="56" t="s">
        <v>342</v>
      </c>
      <c r="B41" s="57" t="s">
        <v>285</v>
      </c>
      <c r="C41" s="7" t="n">
        <v>1</v>
      </c>
      <c r="D41" s="17" t="n">
        <v>1</v>
      </c>
      <c r="E41" s="17" t="s">
        <v>286</v>
      </c>
      <c r="F41" s="9" t="s">
        <v>25</v>
      </c>
      <c r="G41" s="9" t="s">
        <v>25</v>
      </c>
      <c r="H41" s="17" t="n">
        <v>0</v>
      </c>
      <c r="I41" s="11" t="s">
        <v>343</v>
      </c>
    </row>
    <row r="42" customFormat="false" ht="19.5" hidden="false" customHeight="true" outlineLevel="0" collapsed="false">
      <c r="A42" s="56" t="s">
        <v>344</v>
      </c>
      <c r="B42" s="57" t="s">
        <v>63</v>
      </c>
      <c r="C42" s="9" t="s">
        <v>25</v>
      </c>
      <c r="D42" s="9" t="s">
        <v>25</v>
      </c>
      <c r="E42" s="9" t="s">
        <v>25</v>
      </c>
      <c r="F42" s="9" t="s">
        <v>25</v>
      </c>
      <c r="G42" s="9" t="s">
        <v>25</v>
      </c>
      <c r="H42" s="9" t="s">
        <v>25</v>
      </c>
      <c r="I42" s="11" t="s">
        <v>345</v>
      </c>
    </row>
    <row r="43" customFormat="false" ht="19.5" hidden="false" customHeight="true" outlineLevel="0" collapsed="false">
      <c r="A43" s="56" t="s">
        <v>346</v>
      </c>
      <c r="B43" s="57" t="s">
        <v>63</v>
      </c>
      <c r="C43" s="9" t="s">
        <v>25</v>
      </c>
      <c r="D43" s="9" t="s">
        <v>25</v>
      </c>
      <c r="E43" s="9" t="s">
        <v>25</v>
      </c>
      <c r="F43" s="9" t="s">
        <v>25</v>
      </c>
      <c r="G43" s="9" t="s">
        <v>25</v>
      </c>
      <c r="H43" s="9" t="s">
        <v>25</v>
      </c>
      <c r="I43" s="11" t="s">
        <v>347</v>
      </c>
    </row>
    <row r="44" customFormat="false" ht="19.5" hidden="false" customHeight="true" outlineLevel="0" collapsed="false">
      <c r="A44" s="56" t="s">
        <v>348</v>
      </c>
      <c r="B44" s="57" t="s">
        <v>63</v>
      </c>
      <c r="C44" s="9" t="s">
        <v>25</v>
      </c>
      <c r="D44" s="9" t="s">
        <v>25</v>
      </c>
      <c r="E44" s="9" t="s">
        <v>25</v>
      </c>
      <c r="F44" s="9" t="s">
        <v>25</v>
      </c>
      <c r="G44" s="9" t="s">
        <v>25</v>
      </c>
      <c r="H44" s="9" t="s">
        <v>25</v>
      </c>
      <c r="I44" s="11" t="s">
        <v>349</v>
      </c>
    </row>
    <row r="45" customFormat="false" ht="19.5" hidden="false" customHeight="true" outlineLevel="0" collapsed="false">
      <c r="A45" s="56" t="s">
        <v>350</v>
      </c>
      <c r="B45" s="57" t="s">
        <v>351</v>
      </c>
      <c r="C45" s="8" t="s">
        <v>22</v>
      </c>
      <c r="D45" s="8" t="s">
        <v>22</v>
      </c>
      <c r="E45" s="9" t="s">
        <v>25</v>
      </c>
      <c r="F45" s="8" t="s">
        <v>22</v>
      </c>
      <c r="G45" s="9" t="s">
        <v>25</v>
      </c>
      <c r="H45" s="8" t="s">
        <v>21</v>
      </c>
      <c r="I45" s="11"/>
    </row>
    <row r="46" customFormat="false" ht="19.5" hidden="false" customHeight="true" outlineLevel="0" collapsed="false">
      <c r="A46" s="56" t="s">
        <v>352</v>
      </c>
      <c r="B46" s="57" t="s">
        <v>351</v>
      </c>
      <c r="C46" s="8" t="s">
        <v>22</v>
      </c>
      <c r="D46" s="8" t="s">
        <v>22</v>
      </c>
      <c r="E46" s="9" t="s">
        <v>25</v>
      </c>
      <c r="F46" s="17" t="n">
        <v>1</v>
      </c>
      <c r="G46" s="9" t="s">
        <v>25</v>
      </c>
      <c r="H46" s="8" t="s">
        <v>21</v>
      </c>
      <c r="I46" s="11"/>
    </row>
    <row r="47" customFormat="false" ht="19.5" hidden="false" customHeight="true" outlineLevel="0" collapsed="false">
      <c r="A47" s="56" t="s">
        <v>353</v>
      </c>
      <c r="B47" s="57" t="s">
        <v>351</v>
      </c>
      <c r="C47" s="8" t="s">
        <v>22</v>
      </c>
      <c r="D47" s="8" t="s">
        <v>22</v>
      </c>
      <c r="E47" s="9" t="s">
        <v>25</v>
      </c>
      <c r="F47" s="17" t="n">
        <v>2</v>
      </c>
      <c r="G47" s="9" t="s">
        <v>25</v>
      </c>
      <c r="H47" s="8" t="s">
        <v>21</v>
      </c>
      <c r="I47" s="11"/>
    </row>
    <row r="48" customFormat="false" ht="19.5" hidden="false" customHeight="true" outlineLevel="0" collapsed="false">
      <c r="A48" s="56" t="s">
        <v>354</v>
      </c>
      <c r="B48" s="57" t="s">
        <v>351</v>
      </c>
      <c r="C48" s="8" t="s">
        <v>22</v>
      </c>
      <c r="D48" s="8" t="s">
        <v>22</v>
      </c>
      <c r="E48" s="9" t="s">
        <v>25</v>
      </c>
      <c r="F48" s="17" t="n">
        <v>3</v>
      </c>
      <c r="G48" s="9" t="s">
        <v>25</v>
      </c>
      <c r="H48" s="8" t="s">
        <v>21</v>
      </c>
      <c r="I48" s="11"/>
    </row>
    <row r="49" customFormat="false" ht="19.5" hidden="false" customHeight="true" outlineLevel="0" collapsed="false">
      <c r="A49" s="56" t="s">
        <v>355</v>
      </c>
      <c r="B49" s="57" t="s">
        <v>356</v>
      </c>
      <c r="C49" s="8" t="s">
        <v>22</v>
      </c>
      <c r="D49" s="8" t="s">
        <v>22</v>
      </c>
      <c r="E49" s="9" t="s">
        <v>25</v>
      </c>
      <c r="F49" s="9" t="s">
        <v>25</v>
      </c>
      <c r="G49" s="8" t="s">
        <v>22</v>
      </c>
      <c r="H49" s="8" t="s">
        <v>23</v>
      </c>
      <c r="I49" s="11" t="s">
        <v>357</v>
      </c>
    </row>
    <row r="50" customFormat="false" ht="19.5" hidden="false" customHeight="true" outlineLevel="0" collapsed="false">
      <c r="A50" s="56" t="s">
        <v>358</v>
      </c>
      <c r="B50" s="57" t="s">
        <v>356</v>
      </c>
      <c r="C50" s="8" t="s">
        <v>22</v>
      </c>
      <c r="D50" s="8" t="s">
        <v>22</v>
      </c>
      <c r="E50" s="9" t="s">
        <v>25</v>
      </c>
      <c r="F50" s="9" t="s">
        <v>25</v>
      </c>
      <c r="G50" s="17" t="n">
        <v>1</v>
      </c>
      <c r="H50" s="8" t="s">
        <v>23</v>
      </c>
      <c r="I50" s="11"/>
    </row>
    <row r="51" customFormat="false" ht="19.5" hidden="false" customHeight="true" outlineLevel="0" collapsed="false">
      <c r="A51" s="56" t="s">
        <v>359</v>
      </c>
      <c r="B51" s="57" t="s">
        <v>356</v>
      </c>
      <c r="C51" s="8" t="s">
        <v>22</v>
      </c>
      <c r="D51" s="8" t="s">
        <v>22</v>
      </c>
      <c r="E51" s="9" t="s">
        <v>25</v>
      </c>
      <c r="F51" s="9" t="s">
        <v>25</v>
      </c>
      <c r="G51" s="17" t="n">
        <v>2</v>
      </c>
      <c r="H51" s="8" t="s">
        <v>23</v>
      </c>
      <c r="I51" s="11"/>
    </row>
    <row r="52" customFormat="false" ht="13.5" hidden="false" customHeight="true" outlineLevel="0" collapsed="false"/>
    <row r="53" customFormat="false" ht="13.5" hidden="false" customHeight="true" outlineLevel="0" collapsed="false">
      <c r="A53" s="59" t="s">
        <v>360</v>
      </c>
    </row>
    <row r="54" customFormat="false" ht="13.5" hidden="false" customHeight="true" outlineLevel="0" collapsed="false">
      <c r="A54" s="60" t="s">
        <v>361</v>
      </c>
      <c r="B54" s="60"/>
      <c r="C54" s="60"/>
      <c r="D54" s="60"/>
      <c r="E54" s="60"/>
      <c r="F54" s="60"/>
      <c r="G54" s="60"/>
      <c r="H54" s="60"/>
      <c r="I54" s="60"/>
    </row>
    <row r="55" customFormat="false" ht="13.5" hidden="false" customHeight="true" outlineLevel="0" collapsed="false">
      <c r="A55" s="60" t="s">
        <v>362</v>
      </c>
      <c r="B55" s="60"/>
      <c r="C55" s="60"/>
      <c r="D55" s="60"/>
      <c r="E55" s="60"/>
      <c r="F55" s="60"/>
      <c r="G55" s="60"/>
      <c r="H55" s="60"/>
      <c r="I55" s="60"/>
    </row>
    <row r="56" customFormat="false" ht="13.5" hidden="false" customHeight="true" outlineLevel="0" collapsed="false">
      <c r="A56" s="60" t="s">
        <v>363</v>
      </c>
      <c r="B56" s="60"/>
      <c r="C56" s="60"/>
      <c r="D56" s="60"/>
      <c r="E56" s="60"/>
      <c r="F56" s="60"/>
      <c r="G56" s="60"/>
      <c r="H56" s="60"/>
      <c r="I56" s="60"/>
    </row>
    <row r="57" customFormat="false" ht="13.5" hidden="false" customHeight="true" outlineLevel="0" collapsed="false">
      <c r="A57" s="60" t="s">
        <v>364</v>
      </c>
      <c r="B57" s="60"/>
      <c r="C57" s="60"/>
      <c r="D57" s="60"/>
      <c r="E57" s="60"/>
      <c r="F57" s="60"/>
      <c r="G57" s="60"/>
      <c r="H57" s="60"/>
      <c r="I57" s="60"/>
    </row>
    <row r="58" customFormat="false" ht="13.5" hidden="false" customHeight="true" outlineLevel="0" collapsed="false">
      <c r="A58" s="60" t="s">
        <v>365</v>
      </c>
      <c r="B58" s="60"/>
      <c r="C58" s="60"/>
      <c r="D58" s="60"/>
      <c r="E58" s="60"/>
      <c r="F58" s="60"/>
      <c r="G58" s="60"/>
      <c r="H58" s="60"/>
      <c r="I58" s="60"/>
    </row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7">
    <mergeCell ref="B1:I1"/>
    <mergeCell ref="B2:I2"/>
    <mergeCell ref="A54:I54"/>
    <mergeCell ref="A55:I55"/>
    <mergeCell ref="A56:I56"/>
    <mergeCell ref="A57:I57"/>
    <mergeCell ref="A58:I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2026-09-09T22:48:31Z</dcterms:created>
  <dc:creator>openpyxl</dc:creator>
  <dc:description/>
  <dc:language>en-US</dc:language>
  <cp:lastModifiedBy/>
  <dcterms:modified xsi:type="dcterms:W3CDTF">2026-09-10T13:45:11Z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